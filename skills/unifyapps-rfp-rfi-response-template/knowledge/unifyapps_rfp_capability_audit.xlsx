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ohamedmaher/Library/CloudStorage/GoogleDrive-mohamed.maher@unifyapps.com/My Drive/UnifyApps/Draft/"/>
    </mc:Choice>
  </mc:AlternateContent>
  <xr:revisionPtr revIDLastSave="0" documentId="13_ncr:1_{E03BFB4D-3F03-8F49-9C01-374D17EA2B16}" xr6:coauthVersionLast="47" xr6:coauthVersionMax="47" xr10:uidLastSave="{00000000-0000-0000-0000-000000000000}"/>
  <bookViews>
    <workbookView xWindow="0" yWindow="600" windowWidth="38400" windowHeight="19820" xr2:uid="{00000000-000D-0000-FFFF-FFFF00000000}"/>
  </bookViews>
  <sheets>
    <sheet name="Requiremen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2" i="2" l="1"/>
  <c r="K102" i="2"/>
  <c r="J102" i="2"/>
  <c r="L101" i="2"/>
  <c r="K101" i="2"/>
  <c r="J101" i="2"/>
  <c r="L100" i="2"/>
  <c r="K100" i="2"/>
  <c r="J100" i="2"/>
  <c r="L99" i="2"/>
  <c r="K99" i="2"/>
  <c r="J99" i="2"/>
  <c r="L98" i="2"/>
  <c r="K98" i="2"/>
  <c r="J98" i="2"/>
  <c r="L97" i="2"/>
  <c r="K97" i="2"/>
  <c r="J97" i="2"/>
  <c r="L96" i="2"/>
  <c r="K96" i="2"/>
  <c r="J96" i="2"/>
  <c r="L95" i="2"/>
  <c r="K95" i="2"/>
  <c r="J95" i="2"/>
  <c r="L94" i="2"/>
  <c r="K94" i="2"/>
  <c r="J94" i="2"/>
  <c r="L93" i="2"/>
  <c r="K93" i="2"/>
  <c r="J93" i="2"/>
  <c r="L92" i="2"/>
  <c r="K92" i="2"/>
  <c r="J92" i="2"/>
  <c r="L91" i="2"/>
  <c r="K91" i="2"/>
  <c r="J91" i="2"/>
  <c r="L90" i="2"/>
  <c r="K90" i="2"/>
  <c r="J90" i="2"/>
  <c r="L89" i="2"/>
  <c r="K89" i="2"/>
  <c r="J89" i="2"/>
  <c r="L88" i="2"/>
  <c r="K88" i="2"/>
  <c r="J88" i="2"/>
  <c r="L87" i="2"/>
  <c r="K87" i="2"/>
  <c r="J87" i="2"/>
  <c r="L86" i="2"/>
  <c r="K86" i="2"/>
  <c r="J86" i="2"/>
  <c r="L85" i="2"/>
  <c r="K85" i="2"/>
  <c r="J85" i="2"/>
  <c r="L84" i="2"/>
  <c r="K84" i="2"/>
  <c r="J84" i="2"/>
  <c r="L83" i="2"/>
  <c r="K83" i="2"/>
  <c r="J83" i="2"/>
  <c r="L82" i="2"/>
  <c r="K82" i="2"/>
  <c r="J82" i="2"/>
  <c r="L81" i="2"/>
  <c r="K81" i="2"/>
  <c r="J81" i="2"/>
  <c r="L80" i="2"/>
  <c r="K80" i="2"/>
  <c r="J80" i="2"/>
  <c r="L79" i="2"/>
  <c r="K79" i="2"/>
  <c r="J79" i="2"/>
  <c r="L78" i="2"/>
  <c r="K78" i="2"/>
  <c r="J78" i="2"/>
  <c r="L77" i="2"/>
  <c r="K77" i="2"/>
  <c r="J77" i="2"/>
  <c r="L76" i="2"/>
  <c r="K76" i="2"/>
  <c r="J76" i="2"/>
  <c r="L75" i="2"/>
  <c r="K75" i="2"/>
  <c r="J75" i="2"/>
  <c r="L74" i="2"/>
  <c r="K74" i="2"/>
  <c r="J74" i="2"/>
  <c r="L73" i="2"/>
  <c r="K73" i="2"/>
  <c r="J73" i="2"/>
  <c r="L72" i="2"/>
  <c r="K72" i="2"/>
  <c r="J72" i="2"/>
  <c r="L71" i="2"/>
  <c r="K71" i="2"/>
  <c r="J71" i="2"/>
  <c r="L70" i="2"/>
  <c r="K70" i="2"/>
  <c r="J70" i="2"/>
  <c r="L69" i="2"/>
  <c r="K69" i="2"/>
  <c r="J69" i="2"/>
  <c r="L68" i="2"/>
  <c r="K68" i="2"/>
  <c r="J68" i="2"/>
  <c r="L67" i="2"/>
  <c r="K67" i="2"/>
  <c r="J67" i="2"/>
  <c r="L66" i="2"/>
  <c r="K66" i="2"/>
  <c r="J66" i="2"/>
  <c r="L65" i="2"/>
  <c r="K65" i="2"/>
  <c r="J65" i="2"/>
  <c r="L64" i="2"/>
  <c r="K64" i="2"/>
  <c r="J64" i="2"/>
  <c r="L63" i="2"/>
  <c r="K63" i="2"/>
  <c r="J63" i="2"/>
  <c r="L62" i="2"/>
  <c r="K62" i="2"/>
  <c r="J62" i="2"/>
  <c r="L61" i="2"/>
  <c r="K61" i="2"/>
  <c r="J61" i="2"/>
  <c r="L60" i="2"/>
  <c r="K60" i="2"/>
  <c r="J60" i="2"/>
  <c r="L59" i="2"/>
  <c r="K59" i="2"/>
  <c r="J59" i="2"/>
  <c r="L58" i="2"/>
  <c r="K58" i="2"/>
  <c r="J58" i="2"/>
  <c r="L57" i="2"/>
  <c r="K57" i="2"/>
  <c r="J57" i="2"/>
  <c r="L56" i="2"/>
  <c r="K56" i="2"/>
  <c r="J56" i="2"/>
  <c r="L55" i="2"/>
  <c r="K55" i="2"/>
  <c r="J55" i="2"/>
  <c r="L54" i="2"/>
  <c r="K54" i="2"/>
  <c r="J54" i="2"/>
  <c r="L53" i="2"/>
  <c r="K53" i="2"/>
  <c r="J53" i="2"/>
  <c r="L52" i="2"/>
  <c r="K52" i="2"/>
  <c r="J52" i="2"/>
  <c r="L51" i="2"/>
  <c r="K51" i="2"/>
  <c r="J51" i="2"/>
  <c r="L50" i="2"/>
  <c r="K50" i="2"/>
  <c r="J50" i="2"/>
  <c r="L49" i="2"/>
  <c r="K49" i="2"/>
  <c r="J49" i="2"/>
  <c r="L48" i="2"/>
  <c r="K48" i="2"/>
  <c r="J48" i="2"/>
  <c r="L47" i="2"/>
  <c r="K47" i="2"/>
  <c r="J47" i="2"/>
  <c r="L46" i="2"/>
  <c r="K46" i="2"/>
  <c r="J46" i="2"/>
  <c r="L45" i="2"/>
  <c r="K45" i="2"/>
  <c r="J45" i="2"/>
  <c r="L44" i="2"/>
  <c r="K44" i="2"/>
  <c r="J44" i="2"/>
  <c r="L43" i="2"/>
  <c r="K43" i="2"/>
  <c r="J43" i="2"/>
  <c r="L42" i="2"/>
  <c r="K42" i="2"/>
  <c r="J42" i="2"/>
  <c r="L41" i="2"/>
  <c r="K41" i="2"/>
  <c r="J41" i="2"/>
  <c r="L40" i="2"/>
  <c r="K40" i="2"/>
  <c r="J40" i="2"/>
  <c r="L39" i="2"/>
  <c r="K39" i="2"/>
  <c r="J39" i="2"/>
  <c r="L38" i="2"/>
  <c r="K38" i="2"/>
  <c r="J38" i="2"/>
  <c r="L37" i="2"/>
  <c r="K37" i="2"/>
  <c r="J37" i="2"/>
  <c r="L36" i="2"/>
  <c r="K36" i="2"/>
  <c r="J36" i="2"/>
  <c r="L35" i="2"/>
  <c r="K35" i="2"/>
  <c r="J35" i="2"/>
  <c r="L34" i="2"/>
  <c r="K34" i="2"/>
  <c r="J34" i="2"/>
  <c r="L33" i="2"/>
  <c r="K33" i="2"/>
  <c r="J33" i="2"/>
  <c r="L32" i="2"/>
  <c r="K32" i="2"/>
  <c r="J32" i="2"/>
  <c r="L31" i="2"/>
  <c r="K31" i="2"/>
  <c r="J31" i="2"/>
  <c r="L30" i="2"/>
  <c r="K30" i="2"/>
  <c r="J30" i="2"/>
  <c r="L29" i="2"/>
  <c r="K29" i="2"/>
  <c r="J29" i="2"/>
  <c r="L28" i="2"/>
  <c r="K28" i="2"/>
  <c r="J28" i="2"/>
  <c r="L27" i="2"/>
  <c r="K27" i="2"/>
  <c r="J27" i="2"/>
  <c r="L26" i="2"/>
  <c r="K26" i="2"/>
  <c r="J26" i="2"/>
  <c r="L25" i="2"/>
  <c r="K25" i="2"/>
  <c r="J25" i="2"/>
  <c r="L24" i="2"/>
  <c r="K24" i="2"/>
  <c r="J24" i="2"/>
  <c r="L23" i="2"/>
  <c r="K23" i="2"/>
  <c r="J23" i="2"/>
  <c r="L22" i="2"/>
  <c r="K22" i="2"/>
  <c r="J22" i="2"/>
  <c r="L21" i="2"/>
  <c r="K21" i="2"/>
  <c r="J21" i="2"/>
  <c r="L20" i="2"/>
  <c r="K20" i="2"/>
  <c r="J20" i="2"/>
  <c r="L19" i="2"/>
  <c r="K19" i="2"/>
  <c r="J19" i="2"/>
  <c r="L18" i="2"/>
  <c r="K18" i="2"/>
  <c r="J18" i="2"/>
  <c r="L17" i="2"/>
  <c r="K17" i="2"/>
  <c r="J17" i="2"/>
  <c r="L16" i="2"/>
  <c r="K16" i="2"/>
  <c r="J16" i="2"/>
  <c r="L15" i="2"/>
  <c r="K15" i="2"/>
  <c r="J15" i="2"/>
  <c r="L14" i="2"/>
  <c r="K14" i="2"/>
  <c r="J14" i="2"/>
  <c r="L13" i="2"/>
  <c r="K13" i="2"/>
  <c r="J13" i="2"/>
  <c r="L12" i="2"/>
  <c r="K12" i="2"/>
  <c r="J12" i="2"/>
  <c r="L11" i="2"/>
  <c r="K11" i="2"/>
  <c r="J11" i="2"/>
  <c r="L10" i="2"/>
  <c r="K10" i="2"/>
  <c r="J10" i="2"/>
  <c r="L9" i="2"/>
  <c r="K9" i="2"/>
  <c r="J9" i="2"/>
  <c r="L8" i="2"/>
  <c r="K8" i="2"/>
  <c r="J8" i="2"/>
  <c r="L7" i="2"/>
  <c r="K7" i="2"/>
  <c r="J7" i="2"/>
  <c r="L6" i="2"/>
  <c r="K6" i="2"/>
  <c r="J6" i="2"/>
  <c r="L5" i="2"/>
  <c r="K5" i="2"/>
  <c r="J5" i="2"/>
  <c r="L4" i="2"/>
  <c r="K4" i="2"/>
  <c r="J4" i="2"/>
  <c r="L3" i="2"/>
  <c r="K3" i="2"/>
  <c r="J3" i="2"/>
  <c r="L2" i="2"/>
  <c r="K2" i="2"/>
  <c r="J2" i="2"/>
</calcChain>
</file>

<file path=xl/sharedStrings.xml><?xml version="1.0" encoding="utf-8"?>
<sst xmlns="http://schemas.openxmlformats.org/spreadsheetml/2006/main" count="719" uniqueCount="340">
  <si>
    <t>Audit Level</t>
  </si>
  <si>
    <t>Common</t>
  </si>
  <si>
    <t>Common / Moderate</t>
  </si>
  <si>
    <t>Moderate</t>
  </si>
  <si>
    <t>Moderate / Strong Differentiator</t>
  </si>
  <si>
    <t>Strong Differentiator</t>
  </si>
  <si>
    <t>Highly Restrictive</t>
  </si>
  <si>
    <t>Category</t>
  </si>
  <si>
    <t>AI Agents</t>
  </si>
  <si>
    <t>AI Evaluation</t>
  </si>
  <si>
    <t>AI Registry</t>
  </si>
  <si>
    <t>AI Safeguards</t>
  </si>
  <si>
    <t>Agent Tool Governance</t>
  </si>
  <si>
    <t>Application Platform</t>
  </si>
  <si>
    <t>Dashboards and Analytics</t>
  </si>
  <si>
    <t>Demonstration Requirements</t>
  </si>
  <si>
    <t>Deployment and Compliance</t>
  </si>
  <si>
    <t>Integration Layer</t>
  </si>
  <si>
    <t>LLM Flexibility</t>
  </si>
  <si>
    <t>Long-Term Memory</t>
  </si>
  <si>
    <t>Observability</t>
  </si>
  <si>
    <t>RAG and Indexing</t>
  </si>
  <si>
    <t>Security and Identity</t>
  </si>
  <si>
    <t>Workflow Automation</t>
  </si>
  <si>
    <t>ID</t>
  </si>
  <si>
    <t>Requirement Area</t>
  </si>
  <si>
    <t>Safer RFP Requirement Wording</t>
  </si>
  <si>
    <t>Compliance Difficulty</t>
  </si>
  <si>
    <t>Priority</t>
  </si>
  <si>
    <t>Why This Makes Compliance Harder</t>
  </si>
  <si>
    <t>Safer Notes / Equivalent Capability</t>
  </si>
  <si>
    <t>Mandatory Flag</t>
  </si>
  <si>
    <t>Audit Risk Comment</t>
  </si>
  <si>
    <t>Suggested Evaluation Treatment</t>
  </si>
  <si>
    <t>Low-code / no-code app builder</t>
  </si>
  <si>
    <t>Mandatory</t>
  </si>
  <si>
    <t>Filters out custom-only implementation vendors while remaining defensible.</t>
  </si>
  <si>
    <t>Use 'or equivalent' where naming specific tools/frameworks.</t>
  </si>
  <si>
    <t>Configurable enterprise applications</t>
  </si>
  <si>
    <t>The platform shall support configurable enterprise applications with reusable components, role-based layouts, dynamic forms, business rules, modular screens, and reusable UI patterns.</t>
  </si>
  <si>
    <t>Requires productized platform capability rather than one-off development.</t>
  </si>
  <si>
    <t>Prompt-based app creation</t>
  </si>
  <si>
    <t>The platform shall allow authorized users to create new applications using natural-language prompts, including generation of screens, forms, layouts, data models, business rules, dashboards, and user journeys.</t>
  </si>
  <si>
    <t>Many low-code platforms can configure apps; fewer can generate governed applications from prompts.</t>
  </si>
  <si>
    <t>Prompt-based app update</t>
  </si>
  <si>
    <t>The platform shall allow authorized users to update existing applications using natural-language prompts, including UI components, forms, validations, dashboards, workflows, permissions, and business logic.</t>
  </si>
  <si>
    <t>Forces real prompt-to-build maturity, not only code generation.</t>
  </si>
  <si>
    <t>Governed prompt-to-build</t>
  </si>
  <si>
    <t>Prompt-based creation or modification of applications shall be governed by RBAC, approval workflows, preview, validation, testing, versioning, audit logs, and rollback.</t>
  </si>
  <si>
    <t>Prevents vendors from presenting uncontrolled generative UI as enterprise-ready.</t>
  </si>
  <si>
    <t>Iterative prompt refinement</t>
  </si>
  <si>
    <t>The platform shall allow users to iteratively refine generated applications through follow-up prompts while maintaining traceability of changes and configuration history.</t>
  </si>
  <si>
    <t>Scored</t>
  </si>
  <si>
    <t>Differentiates basic generation from governed iterative enterprise configuration.</t>
  </si>
  <si>
    <t>Environment promotion</t>
  </si>
  <si>
    <t>The platform shall support separate development, test, UAT, staging, and production environments with controlled promotion of application configurations.</t>
  </si>
  <si>
    <t>Baseline enterprise requirement; not highly differentiating alone.</t>
  </si>
  <si>
    <t>Workflow engine</t>
  </si>
  <si>
    <t>The platform shall provide a configurable workflow engine supporting approvals, routing, SLA tracking, escalations, notifications, exception handling, and automated system actions.</t>
  </si>
  <si>
    <t>Baseline workflow capability; useful but not enough alone.</t>
  </si>
  <si>
    <t>Cross-system orchestration</t>
  </si>
  <si>
    <t>The platform shall support multi-step workflows across users, systems, AI agents, external integrations, and enterprise data sources.</t>
  </si>
  <si>
    <t>Requires orchestration beyond simple task routing.</t>
  </si>
  <si>
    <t>Event-driven automation</t>
  </si>
  <si>
    <t>The platform shall support event-driven automation triggered by system events, user actions, workflow status changes, data changes, API calls, and scheduled jobs.</t>
  </si>
  <si>
    <t>Filters basic form platforms.</t>
  </si>
  <si>
    <t>Prompt-based workflow creation</t>
  </si>
  <si>
    <t>The platform shall allow authorized users to create workflows using natural-language prompts, including triggers, actions, approvals, routing, notifications, escalations, integrations, and exception handling.</t>
  </si>
  <si>
    <t>Strongly filters vendors without prompt-to-workflow capability.</t>
  </si>
  <si>
    <t>Prompt-based workflow update</t>
  </si>
  <si>
    <t>The platform shall allow authorized users to update existing workflows using natural-language prompts, including workflow steps, approval paths, SLA rules, conditions, actions, integrations, and notification logic.</t>
  </si>
  <si>
    <t>Requires governed AI-assisted operational change, not only workflow drawing.</t>
  </si>
  <si>
    <t>Business rules configuration</t>
  </si>
  <si>
    <t>Favors configurable platforms over custom SI builds.</t>
  </si>
  <si>
    <t>Enterprise connectors and APIs</t>
  </si>
  <si>
    <t>The platform shall support integration with enterprise systems through prebuilt connectors, APIs, databases, files, webhooks, and custom connector frameworks.</t>
  </si>
  <si>
    <t>Requires broad integration capability.</t>
  </si>
  <si>
    <t>Custom connector framework</t>
  </si>
  <si>
    <t>The platform shall support creation, management, testing, deployment, and governance of custom connectors where prebuilt connectors are not available.</t>
  </si>
  <si>
    <t>Prevents vendors from relying only on limited built-in connectors.</t>
  </si>
  <si>
    <t>Governed system actions</t>
  </si>
  <si>
    <t>The platform shall support secure orchestration of read and write actions across connected systems through governed workflows, agent permissions, and audit trails.</t>
  </si>
  <si>
    <t>The hard part is governed execution, not just connecting.</t>
  </si>
  <si>
    <t>Agent-triggered integration governance</t>
  </si>
  <si>
    <t>The platform shall govern integration actions triggered by AI agents, including permission checks, allowed tools, approval requirements, input/output logging, and execution status.</t>
  </si>
  <si>
    <t>Filters simple AI/chat vendors lacking action governance.</t>
  </si>
  <si>
    <t>API and action audit</t>
  </si>
  <si>
    <t>The platform shall provide audit logs for integration calls, workflow-triggered actions, and AI-triggered tool executions.</t>
  </si>
  <si>
    <t>Harder for vendors without unified workflow-agent observability.</t>
  </si>
  <si>
    <t>Embedded AI agents</t>
  </si>
  <si>
    <t>The platform shall support embedded AI agents that assist users with search, summarization, recommendations, content generation, task detection, task execution, and process automation.</t>
  </si>
  <si>
    <t>Basic agent claims are common; pairing with execution makes it harder.</t>
  </si>
  <si>
    <t>Configurable agent design</t>
  </si>
  <si>
    <t>The platform shall support role-specific agents with configurable role, goal, instructions, tools, permissions, knowledge sources, model selection, memory, and escalation rules.</t>
  </si>
  <si>
    <t>Requires real enterprise agent configuration.</t>
  </si>
  <si>
    <t>Prompt-based agent creation</t>
  </si>
  <si>
    <t>The platform shall allow authorized users to create AI agents using natural-language prompts, including role, goal, topics, instructions, tools, permissions, knowledge sources, memory configuration, and escalation rules.</t>
  </si>
  <si>
    <t>Filters vendors with manual-only technical agent setup.</t>
  </si>
  <si>
    <t>Prompt-based agent updates</t>
  </si>
  <si>
    <t>The platform shall allow authorized users to modify existing AI agents using natural-language prompts, including instructions, tools, model configuration, safeguards, memory policies, retrieval settings, and approval rules.</t>
  </si>
  <si>
    <t>Requires governed prompt-based AI administration.</t>
  </si>
  <si>
    <t>Multi-agent orchestration</t>
  </si>
  <si>
    <t>The platform shall support multi-agent orchestration, including manager-worker patterns, task delegation, inter-agent communication, and role-specific collaboration.</t>
  </si>
  <si>
    <t>Filters single-chatbot solutions.</t>
  </si>
  <si>
    <t>Agent lifecycle management</t>
  </si>
  <si>
    <t>The platform shall support agent lifecycle management, including design, testing, approval, deployment, monitoring, versioning, rollback, retirement, and audit.</t>
  </si>
  <si>
    <t>Enterprise governance requirement few agent demos support end-to-end.</t>
  </si>
  <si>
    <t>Prompt and policy management</t>
  </si>
  <si>
    <t>The platform shall support centralized management of prompts, system instructions, guardrails, policies, tool permissions, model policies, and agent behavior rules.</t>
  </si>
  <si>
    <t>Moves agents from ad hoc prompts to governed assets.</t>
  </si>
  <si>
    <t>Tool-level execution governance</t>
  </si>
  <si>
    <t>The platform shall provide governance controls at the agent tool execution level, covering which agent can use which tool, under which conditions, with which permissions, and with which approvals.</t>
  </si>
  <si>
    <t>One of the strongest filters against generic AI assistants.</t>
  </si>
  <si>
    <t>Fine-grained tool parameter control</t>
  </si>
  <si>
    <t>The platform shall allow administrators to define allowed, restricted, and blocked tool parameters for agent tool execution.</t>
  </si>
  <si>
    <t>Requires deep policy enforcement, not simple access control.</t>
  </si>
  <si>
    <t>Human approval for sensitive actions</t>
  </si>
  <si>
    <t>The platform shall support human approval before sensitive, regulated, financial, customer-impacting, or irreversible AI-triggered tool executions.</t>
  </si>
  <si>
    <t>Defensible in regulated environments and difficult for lightweight vendors.</t>
  </si>
  <si>
    <t>Tool execution audit</t>
  </si>
  <si>
    <t>The platform shall maintain audit logs for every agent tool call, including user, agent, tool, input, output, timestamp, approval status, execution result, and failure reason where applicable.</t>
  </si>
  <si>
    <t>Hard to comply without mature execution layer.</t>
  </si>
  <si>
    <t>RBAC across AI assets</t>
  </si>
  <si>
    <t>The platform shall support RBAC across agents, tools, prompts, knowledge sources, memory, workflows, integrations, dashboards, and execution permissions.</t>
  </si>
  <si>
    <t>Strongly filters vendors with shallow RBAC.</t>
  </si>
  <si>
    <t>Segregation of duties</t>
  </si>
  <si>
    <t>The platform shall support segregation of duties for agent creation, approval, deployment, execution, monitoring, and policy administration.</t>
  </si>
  <si>
    <t>Useful compliance filter for enterprise governance.</t>
  </si>
  <si>
    <t>Guardrails and safe execution</t>
  </si>
  <si>
    <t>Guardrails must cover output and actions, not only content.</t>
  </si>
  <si>
    <t>Content filtering</t>
  </si>
  <si>
    <t>The platform shall support configurable content filtering for harmful content, confidential information, regulated data, PII, policy violations, and inappropriate responses.</t>
  </si>
  <si>
    <t>Common as a concept, stronger when tied to governance.</t>
  </si>
  <si>
    <t>Hallucination controls</t>
  </si>
  <si>
    <t>The platform shall provide hallucination control mechanisms such as grounding checks, source validation, confidence scoring, fallback responses, response blocking, and escalation to human review.</t>
  </si>
  <si>
    <t>Hard for vendors without integrated RAG/evaluation/governance.</t>
  </si>
  <si>
    <t>Prompt injection defense</t>
  </si>
  <si>
    <t>The platform shall include controls to detect, prevent, and audit prompt injection and instruction override attempts against agents, tools, and knowledge sources.</t>
  </si>
  <si>
    <t>Advanced enterprise AI security requirement.</t>
  </si>
  <si>
    <t>Task detection and routing</t>
  </si>
  <si>
    <t>The platform shall support AI-based task detection, intent classification, routing, prioritization, and assignment based on user input, enterprise context, role, and policy.</t>
  </si>
  <si>
    <t>Filters generic chatbot-only vendors.</t>
  </si>
  <si>
    <t>Token monitoring</t>
  </si>
  <si>
    <t>The platform shall provide token consumption monitoring across agents, users, workflows, tools, applications, knowledge retrieval, and model calls.</t>
  </si>
  <si>
    <t>AI cost governance is often missing or shallow.</t>
  </si>
  <si>
    <t>Token throttling and quotas</t>
  </si>
  <si>
    <t>The platform shall provide controls to limit, throttle, optimize, budget, and alert on token consumption by user, role, agent, workflow, application, model, and environment.</t>
  </si>
  <si>
    <t>Forces measurable cost control.</t>
  </si>
  <si>
    <t>AI cost governance</t>
  </si>
  <si>
    <t>The platform shall provide usage quotas, budget controls, cost dashboards, anomaly alerts, and cost attribution for AI model consumption and agent execution.</t>
  </si>
  <si>
    <t>Prevents vendors with only raw LLM usage logs from claiming maturity.</t>
  </si>
  <si>
    <t>AI risk classification</t>
  </si>
  <si>
    <t>The platform shall classify and monitor AI risks across agents, models, tools, data sources, memory, prompts, and business processes.</t>
  </si>
  <si>
    <t>Pushes toward formal AI governance capability.</t>
  </si>
  <si>
    <t>LLM-agnostic architecture</t>
  </si>
  <si>
    <t>The platform shall support multiple LLM providers and customer-approved model endpoints without locking the customer into a single proprietary model provider.</t>
  </si>
  <si>
    <t>Very important filter against single-provider AI stacks.</t>
  </si>
  <si>
    <t>BYO LLM and private endpoints</t>
  </si>
  <si>
    <t>The platform shall support customer-provided LLMs, private model endpoints, cloud-hosted models, and on-premises/self-hosted model deployments where required by security or regulatory policy.</t>
  </si>
  <si>
    <t>Critical for regulated customers.</t>
  </si>
  <si>
    <t>Function-level LLM selection</t>
  </si>
  <si>
    <t>One of the strongest model-governance differentiators.</t>
  </si>
  <si>
    <t>Model approval governance</t>
  </si>
  <si>
    <t>The platform shall govern which models are approved for which use cases, users, data classes, business processes, environments, and agent functions.</t>
  </si>
  <si>
    <t>Essential for enterprise AI governance.</t>
  </si>
  <si>
    <t>Fine-tuned model support</t>
  </si>
  <si>
    <t>The platform shall support use of fine-tuned models or customer-specialized model endpoints where approved, including model registration, versioning, access control, evaluation, rollback, and usage monitoring.</t>
  </si>
  <si>
    <t>Keeps wording vendor-neutral while requiring fine-tuning lifecycle governance.</t>
  </si>
  <si>
    <t>RAG grounding</t>
  </si>
  <si>
    <t>The platform shall support retrieval-augmented generation to ground AI responses in enterprise data, documents, policies, knowledge bases, connected systems, and approved indexes.</t>
  </si>
  <si>
    <t>RAG is common; governance around it is the filter.</t>
  </si>
  <si>
    <t>Flexible indexing strategy</t>
  </si>
  <si>
    <t>Differentiates mature RAG platforms from simple vector upload tools.</t>
  </si>
  <si>
    <t>File-type-specific processing</t>
  </si>
  <si>
    <t>Requires real document intelligence architecture.</t>
  </si>
  <si>
    <t>Broad file support</t>
  </si>
  <si>
    <t>The platform shall support indexing of PDFs, Word documents, spreadsheets, presentations, images, scanned files, emails, HTML, JSON, XML, text files, and other enterprise-approved formats.</t>
  </si>
  <si>
    <t>Useful practical requirement.</t>
  </si>
  <si>
    <t>External document extraction frameworks</t>
  </si>
  <si>
    <t>The platform shall support integration with enterprise-approved document parsing and extraction frameworks such as Docling, Unstructured, OCR engines, or equivalent tools.</t>
  </si>
  <si>
    <t>Naming examples keeps direction strong while 'or equivalent' lowers challenge risk.</t>
  </si>
  <si>
    <t>Embedding and chunking configuration</t>
  </si>
  <si>
    <t>The platform shall support configurable chunking, embedding models, metadata enrichment, index refresh frequency, re-indexing rules, retrieval strategies, and access-aware retrieval.</t>
  </si>
  <si>
    <t>Filters simplistic RAG implementations.</t>
  </si>
  <si>
    <t>Knowledge source governance</t>
  </si>
  <si>
    <t>The platform shall govern which agents, users, roles, and workflows can access which knowledge sources, documents, repositories, indexes, databases, and retrieval tools.</t>
  </si>
  <si>
    <t>Critical filter tying RAG to RBAC.</t>
  </si>
  <si>
    <t>Source traceability</t>
  </si>
  <si>
    <t>Defensible and important for hallucination control.</t>
  </si>
  <si>
    <t>Stale content and access revocation</t>
  </si>
  <si>
    <t>The platform shall support re-indexing, index refresh, content expiry, stale content removal, and removal of unauthorized content when access rights change.</t>
  </si>
  <si>
    <t>Hard requirement for enterprise knowledge governance.</t>
  </si>
  <si>
    <t>Long-term agent memory</t>
  </si>
  <si>
    <t>The platform shall support long-term agent memory to retain permitted historical context, decisions, preferences, interactions, and task outcomes where allowed by policy.</t>
  </si>
  <si>
    <t>Few platforms have governed enterprise memory.</t>
  </si>
  <si>
    <t>Configurable memory policies</t>
  </si>
  <si>
    <t>Memory without policy is not enterprise-ready.</t>
  </si>
  <si>
    <t>Memory RBAC</t>
  </si>
  <si>
    <t>The platform shall enforce access controls so agents only access permitted memory based on user, role, process, policy, and data classification.</t>
  </si>
  <si>
    <t>Critical governance requirement.</t>
  </si>
  <si>
    <t>Memory disablement</t>
  </si>
  <si>
    <t>The platform shall support disabling memory for specific agents, users, roles, use cases, environments, or sensitive processes.</t>
  </si>
  <si>
    <t>Good safety requirement.</t>
  </si>
  <si>
    <t>Memory usage traceability</t>
  </si>
  <si>
    <t>The platform shall provide visibility into what memory was used in an agent interaction where applicable.</t>
  </si>
  <si>
    <t>Important for auditability and explainability.</t>
  </si>
  <si>
    <t>Centralized AI registry</t>
  </si>
  <si>
    <t>The platform shall provide a centralized AI registry or equivalent AI governance catalog for agents, models, tools, prompts, workflows, policies, datasets, indexes, versions, owners, approvals, and lifecycle status.</t>
  </si>
  <si>
    <t>Very strong UnifyApps-style platform differentiator.</t>
  </si>
  <si>
    <t>Internal and external agents</t>
  </si>
  <si>
    <t>The AI registry shall support governance of AI agents built inside the platform and externally developed agents integrated with the enterprise environment.</t>
  </si>
  <si>
    <t>Extends governance beyond native platform agents.</t>
  </si>
  <si>
    <t>External agent frameworks</t>
  </si>
  <si>
    <t>The AI registry shall support registration and governance of externally developed agents built using frameworks such as LangChain, Semantic Kernel, custom Python services, or equivalent frameworks.</t>
  </si>
  <si>
    <t>Use examples plus equivalent wording to remain defensible.</t>
  </si>
  <si>
    <t>Registry metadata</t>
  </si>
  <si>
    <t>Forces structured AI asset governance.</t>
  </si>
  <si>
    <t>Governance dashboards</t>
  </si>
  <si>
    <t>The platform shall provide governance dashboards for active agents, external agents, model usage, risk status, tool usage, failures, policy violations, approvals, and lifecycle status.</t>
  </si>
  <si>
    <t>Harder to comply without unified registry/observability.</t>
  </si>
  <si>
    <t>Evaluation module</t>
  </si>
  <si>
    <t>The platform shall include an AI evaluation module to test and measure agents, prompts, models, tools, retrieval strategies, memory configurations, and workflows before and after deployment.</t>
  </si>
  <si>
    <t>Strongly filters vendors without AI lifecycle maturity.</t>
  </si>
  <si>
    <t>Evaluation metrics</t>
  </si>
  <si>
    <t>Comprehensive metrics are difficult for immature vendors.</t>
  </si>
  <si>
    <t>LLM-as-judge</t>
  </si>
  <si>
    <t>The platform shall support LLM-as-judge, human evaluation, automated metrics, or equivalent evaluation mechanisms against predefined rubrics, golden answers, policies, and quality criteria.</t>
  </si>
  <si>
    <t>Safer wording keeps equivalent mechanisms while preserving strong requirement.</t>
  </si>
  <si>
    <t>Human evaluation</t>
  </si>
  <si>
    <t>The platform shall support human-in-the-loop evaluation, reviewer scoring, approval workflows, feedback capture, remediation tracking, and quality assurance cycles.</t>
  </si>
  <si>
    <t>Defensible and hard for pure automation vendors.</t>
  </si>
  <si>
    <t>Online evaluations</t>
  </si>
  <si>
    <t>The platform shall support online evaluations that run automatically on production or pilot AI agent interactions using approved samples, policies, metrics, alerts, and remediation workflows.</t>
  </si>
  <si>
    <t>Very strong differentiator; requires operational evaluation system.</t>
  </si>
  <si>
    <t>Continuous regression testing</t>
  </si>
  <si>
    <t>The platform shall support continuous evaluation using real interaction samples, test datasets, golden answers, synthetic tests, and regression tests after changes to agents, prompts, models, tools, retrieval, or memory.</t>
  </si>
  <si>
    <t>Hard to comply without mature MLOps/LLMOps.</t>
  </si>
  <si>
    <t>Experiment approval and promotion</t>
  </si>
  <si>
    <t>The platform shall support approval and promotion of successful evaluation experiments into production with versioning, rollback, and traceability.</t>
  </si>
  <si>
    <t>Keeps online evaluation connected to governed operations.</t>
  </si>
  <si>
    <t>Unified observability</t>
  </si>
  <si>
    <t>The platform shall provide observability across AI agents, workflows, tools, integrations, model calls, token usage, cost, memory access, retrieval results, guardrails, evaluations, and user interactions.</t>
  </si>
  <si>
    <t>Major differentiator: unified observability across AI and operations.</t>
  </si>
  <si>
    <t>Agent performance monitoring</t>
  </si>
  <si>
    <t>Requires production-grade monitoring.</t>
  </si>
  <si>
    <t>End-to-end AI traceability</t>
  </si>
  <si>
    <t>The platform shall provide traceability showing which user input, data, prompt, model, tool, workflow, memory, retrieval result, guardrail, and policy contributed to an AI output or action.</t>
  </si>
  <si>
    <t>Extremely hard for fragmented toolchains.</t>
  </si>
  <si>
    <t>Full audit logging</t>
  </si>
  <si>
    <t>The platform shall maintain complete audit logs for user actions, workflow execution, agent decisions, tool usage, approvals, rejected actions, model calls, policy violations, and integrations.</t>
  </si>
  <si>
    <t>Baseline for enterprise AI governance but hard end-to-end.</t>
  </si>
  <si>
    <t>AI evidence and explanations</t>
  </si>
  <si>
    <t>The platform shall provide evidence, citations, source references, confidence indicators, reasoning summaries, or trace logs where applicable to support AI recommendations and decisions.</t>
  </si>
  <si>
    <t>Useful for defensibility and user trust.</t>
  </si>
  <si>
    <t>Operational dashboards</t>
  </si>
  <si>
    <t>The platform shall provide dashboards showing model usage, token consumption, costs, agent activity, tool usage, retrieval activity, evaluation results, failures, approval status, risk alerts, and system health.</t>
  </si>
  <si>
    <t>Forces observability and governance UX.</t>
  </si>
  <si>
    <t>SSO</t>
  </si>
  <si>
    <t>The platform shall support single sign-on using SAML, OAuth2, OpenID Connect, or equivalent enterprise authentication protocols.</t>
  </si>
  <si>
    <t>Baseline requirement; not differentiating.</t>
  </si>
  <si>
    <t>IDP / AD / LDAP integration</t>
  </si>
  <si>
    <t>The platform shall support integration with Active Directory, LDAP, Azure AD / Microsoft Entra ID, and equivalent enterprise identity providers.</t>
  </si>
  <si>
    <t>Baseline enterprise requirement.</t>
  </si>
  <si>
    <t>Group synchronization</t>
  </si>
  <si>
    <t>The platform shall support user and group synchronization from enterprise identity providers for role assignment and access control.</t>
  </si>
  <si>
    <t>Needed for operational RBAC.</t>
  </si>
  <si>
    <t>Fine-grained RBAC</t>
  </si>
  <si>
    <t>The platform shall support fine-grained RBAC at application, page, component, data, workflow, agent, tool, memory, dashboard, integration, evaluation, and registry levels.</t>
  </si>
  <si>
    <t>Strong filter when RBAC extends to AI assets.</t>
  </si>
  <si>
    <t>Data security</t>
  </si>
  <si>
    <t>The platform shall support encryption in transit and at rest, PII masking, secrets management, secure credential handling, and configurable data access policies.</t>
  </si>
  <si>
    <t>Baseline security plus platform governance.</t>
  </si>
  <si>
    <t>Administrative audit</t>
  </si>
  <si>
    <t>The platform shall audit authentication, authorization, permission changes, agent policy changes, model approvals, registry changes, and administrative actions.</t>
  </si>
  <si>
    <t>Connects identity to AI governance.</t>
  </si>
  <si>
    <t>Deployment flexibility</t>
  </si>
  <si>
    <t>The platform shall support SaaS, private cloud, VPC, and self-hosted/on-premises deployment models where required by security, data residency, or regulatory requirements.</t>
  </si>
  <si>
    <t>Keeps wording defensible while filtering rigid SaaS-only vendors.</t>
  </si>
  <si>
    <t>Compliance-ready architecture</t>
  </si>
  <si>
    <t>The platform shall provide controls for auditability, access control, approval governance, data protection, model governance, AI risk management, and operational traceability.</t>
  </si>
  <si>
    <t>Creates a strong enterprise governance baseline.</t>
  </si>
  <si>
    <t>Sandbox testing</t>
  </si>
  <si>
    <t>The platform shall provide sandbox environments to test applications, workflows, agents, prompts, models, tools, retrieval strategies, evaluations, memory, and integrations before production deployment.</t>
  </si>
  <si>
    <t>Links testing to AI and workflow configuration.</t>
  </si>
  <si>
    <t>Release management</t>
  </si>
  <si>
    <t>The platform shall support controlled release management, versioning, rollback, promotion approvals, and impact analysis across environments.</t>
  </si>
  <si>
    <t>Standard but important.</t>
  </si>
  <si>
    <t>Operational resilience</t>
  </si>
  <si>
    <t>The platform shall support operational monitoring, failure tracking, retries, alerting, incident investigation, backup, recovery, and disaster recovery planning aligned with enterprise requirements.</t>
  </si>
  <si>
    <t>Baseline operational requirement.</t>
  </si>
  <si>
    <t>Role-based dashboards</t>
  </si>
  <si>
    <t>The platform shall provide role-based dashboards tailored by role, department, function, process, permission level, and data access policy.</t>
  </si>
  <si>
    <t>Baseline but necessary.</t>
  </si>
  <si>
    <t>Configurable reporting</t>
  </si>
  <si>
    <t>The platform shall support configurable KPIs, filters, drill-downs, charts, exports, scheduled reports, and operational analytics.</t>
  </si>
  <si>
    <t>Common requirement.</t>
  </si>
  <si>
    <t>AI-assisted dashboards</t>
  </si>
  <si>
    <t>The platform shall support AI-assisted creation or modification of dashboards, analytical views, insight cards, and reports through configuration or prompting.</t>
  </si>
  <si>
    <t>Filters static reporting platforms.</t>
  </si>
  <si>
    <t>Permission-aware analytics</t>
  </si>
  <si>
    <t>The platform shall enforce RBAC and data permissions in dashboards, AI insights, natural-language queries, exports, and generated summaries.</t>
  </si>
  <si>
    <t>Enterprise security requirement.</t>
  </si>
  <si>
    <t>Live configuration demo</t>
  </si>
  <si>
    <t>Bidders shall demonstrate live configuration of applications, workflows, dashboards, AI agents, integrations, permissions, guardrails, evaluation, and governance controls during evaluation.</t>
  </si>
  <si>
    <t>Best way to prevent paper compliance.</t>
  </si>
  <si>
    <t>Prompt-to-build demo</t>
  </si>
  <si>
    <t>Bidders shall demonstrate prompt-based creation and modification of applications, AI agents, and workflows in a controlled environment.</t>
  </si>
  <si>
    <t>Very hard for vendors without real capability.</t>
  </si>
  <si>
    <t>Tool governance demo</t>
  </si>
  <si>
    <t>Strong practical filter.</t>
  </si>
  <si>
    <t>LLM flexibility demo</t>
  </si>
  <si>
    <t>Bidders shall demonstrate use of multiple approved LLMs across different agent functions, including model routing, fallback, and governance policies.</t>
  </si>
  <si>
    <t>Validates LLM-agnostic claims.</t>
  </si>
  <si>
    <t>RAG and indexing demo</t>
  </si>
  <si>
    <t>Bidders shall demonstrate governed RAG grounding with source traceability, file-type-specific indexing configuration, and access-aware retrieval.</t>
  </si>
  <si>
    <t>Validates mature RAG capability.</t>
  </si>
  <si>
    <t>Token and cost governance demo</t>
  </si>
  <si>
    <t>Bidders shall demonstrate token usage visibility, quotas, throttling, cost attribution, budget alerts, and consumption dashboards.</t>
  </si>
  <si>
    <t>Many vendors cannot show this end-to-end.</t>
  </si>
  <si>
    <t>AI registry demo</t>
  </si>
  <si>
    <t>Bidders shall demonstrate AI registry or equivalent governance catalog covering internal agents, external agents, models, tools, prompts, datasets, indexes, approvals, and lifecycle status.</t>
  </si>
  <si>
    <t>Major differentiator.</t>
  </si>
  <si>
    <t>Online evaluation demo</t>
  </si>
  <si>
    <t>Bidders shall demonstrate online evaluations, automated evaluation experiments, LLM-as-judge or equivalent scoring, human review, and evaluation dashboards for AI agents.</t>
  </si>
  <si>
    <t>Very hard for immature vendors.</t>
  </si>
  <si>
    <t>Observability demo</t>
  </si>
  <si>
    <t>Bidders shall demonstrate end-to-end traceability across prompts, models, tools, workflows, retrieval, memory, guardrails, token usage, evaluations, and outcomes.</t>
  </si>
  <si>
    <t>Paper claims are exposed by demo.</t>
  </si>
  <si>
    <t>The platform shall provide low-code/no-code capabilities to build and configure enterprise applications, forms, workflows, dashboards, and user journeys without  custom development.</t>
  </si>
  <si>
    <t>The platform shall allow administrators to define and update validation rules, approval thresholds, exception rules, and policy enforcement without redevelopment.</t>
  </si>
  <si>
    <t>The platform shall provide configurable AI guardrails to control unsafe outputs, hallucinations, unauthorized actions, sensitive data exposure, prompt injection,, and policy violations.</t>
  </si>
  <si>
    <t>The platform shall allow different LLMs to be selected for different agent functions, including reasoning, content generation, hallucination control, content filtering, task detection, task execution, tool execution, summarization, and classification.</t>
  </si>
  <si>
    <t>The platform shall support flexible indexing strategies based on file type, content structure, access policy, and retrieval requirements.</t>
  </si>
  <si>
    <t>The platform shall support file-type-specific parsing, OCR, chunking, embedding, indexing, and re-indexing strategies.</t>
  </si>
  <si>
    <t>The platform shall provide source references, citations, content highlighting, and traceability for AI-generated answers where applicable.</t>
  </si>
  <si>
    <t>The platform shall allow memory configuration by agent and user.</t>
  </si>
  <si>
    <t>The AI registry shall track agent metadata.</t>
  </si>
  <si>
    <t>The platform shall support evaluation metrics including accuracy, groundedness, hallucination rate, relevance, completeness, latency, cost, token usage, tool success rate, policy compliance, and user satisfaction.</t>
  </si>
  <si>
    <t>The platform shall monitor agent performance, model behavior, tool execution, errors, latency, costs, evaluation scores.</t>
  </si>
  <si>
    <t>Bidders shall demonstrate agent tool execution governance.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</si>
</sst>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ont>
        <color rgb="FF374151"/>
      </font>
      <fill>
        <patternFill patternType="solid">
          <bgColor rgb="FFF3F4F6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1E3A8A"/>
      </font>
      <fill>
        <patternFill patternType="solid">
          <bgColor rgb="FFDBEAFE"/>
        </patternFill>
      </fill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rementsTable" displayName="RequirementsTable" ref="A1:I102">
  <tableColumns count="9">
    <tableColumn id="1" xr3:uid="{00000000-0010-0000-0000-000001000000}" name="ID"/>
    <tableColumn id="2" xr3:uid="{00000000-0010-0000-0000-000002000000}" name="Category"/>
    <tableColumn id="3" xr3:uid="{00000000-0010-0000-0000-000003000000}" name="Requirement Area"/>
    <tableColumn id="4" xr3:uid="{00000000-0010-0000-0000-000004000000}" name="Safer RFP Requirement Wording" dataDxfId="3"/>
    <tableColumn id="5" xr3:uid="{00000000-0010-0000-0000-000005000000}" name="Audit Level"/>
    <tableColumn id="6" xr3:uid="{00000000-0010-0000-0000-000006000000}" name="Compliance Difficulty"/>
    <tableColumn id="7" xr3:uid="{00000000-0010-0000-0000-000007000000}" name="Priority"/>
    <tableColumn id="8" xr3:uid="{00000000-0010-0000-0000-000008000000}" name="Why This Makes Compliance Harder"/>
    <tableColumn id="9" xr3:uid="{00000000-0010-0000-0000-000009000000}" name="Safer Notes / Equivalent Cap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2"/>
  <sheetViews>
    <sheetView tabSelected="1" zoomScale="160" zoomScaleNormal="160" workbookViewId="0">
      <selection activeCell="D106" sqref="D106"/>
    </sheetView>
  </sheetViews>
  <sheetFormatPr baseColWidth="10" defaultColWidth="8.83203125" defaultRowHeight="14"/>
  <cols>
    <col min="1" max="1" width="6" customWidth="1"/>
    <col min="2" max="2" width="22" customWidth="1"/>
    <col min="3" max="3" width="28" customWidth="1"/>
    <col min="4" max="4" width="127.1640625" style="3" customWidth="1"/>
    <col min="5" max="5" width="22" customWidth="1"/>
    <col min="6" max="6" width="15" customWidth="1"/>
    <col min="7" max="7" width="14" customWidth="1"/>
    <col min="8" max="8" width="46" customWidth="1"/>
    <col min="9" max="9" width="62.1640625" customWidth="1"/>
    <col min="10" max="10" width="14" customWidth="1"/>
    <col min="11" max="11" width="26" customWidth="1"/>
    <col min="12" max="12" width="24" customWidth="1"/>
  </cols>
  <sheetData>
    <row r="1" spans="1:12" ht="32">
      <c r="A1" s="1" t="s">
        <v>24</v>
      </c>
      <c r="B1" s="1" t="s">
        <v>7</v>
      </c>
      <c r="C1" s="1" t="s">
        <v>25</v>
      </c>
      <c r="D1" s="1" t="s">
        <v>26</v>
      </c>
      <c r="E1" s="1" t="s">
        <v>0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ht="30">
      <c r="A2" s="2">
        <v>1</v>
      </c>
      <c r="B2" s="2" t="s">
        <v>13</v>
      </c>
      <c r="C2" s="2" t="s">
        <v>34</v>
      </c>
      <c r="D2" s="4" t="s">
        <v>328</v>
      </c>
      <c r="E2" s="2" t="s">
        <v>3</v>
      </c>
      <c r="F2" s="2">
        <v>3</v>
      </c>
      <c r="G2" s="2" t="s">
        <v>35</v>
      </c>
      <c r="H2" s="2" t="s">
        <v>36</v>
      </c>
      <c r="I2" s="2" t="s">
        <v>37</v>
      </c>
      <c r="J2" s="2">
        <f t="shared" ref="J2:J33" si="0">IF(G2="Mandatory",1,0)</f>
        <v>1</v>
      </c>
      <c r="K2" s="2" t="str">
        <f t="shared" ref="K2:K33" si="1">IF(E2="Highly Restrictive","Use as scored or allow equivalent wording",IF(E2="Common","Low differentiation","Good differentiator"))</f>
        <v>Good differentiator</v>
      </c>
      <c r="L2" s="2" t="str">
        <f t="shared" ref="L2:L33" si="2">IF(G2="Mandatory","Gate + scored evidence","Scored differentiator")</f>
        <v>Gate + scored evidence</v>
      </c>
    </row>
    <row r="3" spans="1:12" ht="30">
      <c r="A3" s="2">
        <v>2</v>
      </c>
      <c r="B3" s="2" t="s">
        <v>13</v>
      </c>
      <c r="C3" s="2" t="s">
        <v>38</v>
      </c>
      <c r="D3" s="4" t="s">
        <v>39</v>
      </c>
      <c r="E3" s="2" t="s">
        <v>3</v>
      </c>
      <c r="F3" s="2">
        <v>3</v>
      </c>
      <c r="G3" s="2" t="s">
        <v>35</v>
      </c>
      <c r="H3" s="2" t="s">
        <v>40</v>
      </c>
      <c r="I3" s="2" t="s">
        <v>37</v>
      </c>
      <c r="J3" s="2">
        <f t="shared" si="0"/>
        <v>1</v>
      </c>
      <c r="K3" s="2" t="str">
        <f t="shared" si="1"/>
        <v>Good differentiator</v>
      </c>
      <c r="L3" s="2" t="str">
        <f t="shared" si="2"/>
        <v>Gate + scored evidence</v>
      </c>
    </row>
    <row r="4" spans="1:12" ht="30">
      <c r="A4" s="2">
        <v>3</v>
      </c>
      <c r="B4" s="2" t="s">
        <v>13</v>
      </c>
      <c r="C4" s="2" t="s">
        <v>41</v>
      </c>
      <c r="D4" s="4" t="s">
        <v>42</v>
      </c>
      <c r="E4" s="2" t="s">
        <v>5</v>
      </c>
      <c r="F4" s="2">
        <v>4</v>
      </c>
      <c r="G4" s="2" t="s">
        <v>35</v>
      </c>
      <c r="H4" s="2" t="s">
        <v>43</v>
      </c>
      <c r="I4" s="2" t="s">
        <v>37</v>
      </c>
      <c r="J4" s="2">
        <f t="shared" si="0"/>
        <v>1</v>
      </c>
      <c r="K4" s="2" t="str">
        <f t="shared" si="1"/>
        <v>Good differentiator</v>
      </c>
      <c r="L4" s="2" t="str">
        <f t="shared" si="2"/>
        <v>Gate + scored evidence</v>
      </c>
    </row>
    <row r="5" spans="1:12" ht="30">
      <c r="A5" s="2">
        <v>4</v>
      </c>
      <c r="B5" s="2" t="s">
        <v>13</v>
      </c>
      <c r="C5" s="2" t="s">
        <v>44</v>
      </c>
      <c r="D5" s="4" t="s">
        <v>45</v>
      </c>
      <c r="E5" s="2" t="s">
        <v>5</v>
      </c>
      <c r="F5" s="2">
        <v>4</v>
      </c>
      <c r="G5" s="2" t="s">
        <v>35</v>
      </c>
      <c r="H5" s="2" t="s">
        <v>46</v>
      </c>
      <c r="I5" s="2" t="s">
        <v>37</v>
      </c>
      <c r="J5" s="2">
        <f t="shared" si="0"/>
        <v>1</v>
      </c>
      <c r="K5" s="2" t="str">
        <f t="shared" si="1"/>
        <v>Good differentiator</v>
      </c>
      <c r="L5" s="2" t="str">
        <f t="shared" si="2"/>
        <v>Gate + scored evidence</v>
      </c>
    </row>
    <row r="6" spans="1:12" ht="30">
      <c r="A6" s="2">
        <v>5</v>
      </c>
      <c r="B6" s="2" t="s">
        <v>13</v>
      </c>
      <c r="C6" s="2" t="s">
        <v>47</v>
      </c>
      <c r="D6" s="4" t="s">
        <v>48</v>
      </c>
      <c r="E6" s="2" t="s">
        <v>5</v>
      </c>
      <c r="F6" s="2">
        <v>4</v>
      </c>
      <c r="G6" s="2" t="s">
        <v>35</v>
      </c>
      <c r="H6" s="2" t="s">
        <v>49</v>
      </c>
      <c r="I6" s="2" t="s">
        <v>37</v>
      </c>
      <c r="J6" s="2">
        <f t="shared" si="0"/>
        <v>1</v>
      </c>
      <c r="K6" s="2" t="str">
        <f t="shared" si="1"/>
        <v>Good differentiator</v>
      </c>
      <c r="L6" s="2" t="str">
        <f t="shared" si="2"/>
        <v>Gate + scored evidence</v>
      </c>
    </row>
    <row r="7" spans="1:12" ht="30">
      <c r="A7" s="2">
        <v>6</v>
      </c>
      <c r="B7" s="2" t="s">
        <v>13</v>
      </c>
      <c r="C7" s="2" t="s">
        <v>50</v>
      </c>
      <c r="D7" s="4" t="s">
        <v>51</v>
      </c>
      <c r="E7" s="2" t="s">
        <v>5</v>
      </c>
      <c r="F7" s="2">
        <v>4</v>
      </c>
      <c r="G7" s="2" t="s">
        <v>52</v>
      </c>
      <c r="H7" s="2" t="s">
        <v>53</v>
      </c>
      <c r="I7" s="2" t="s">
        <v>37</v>
      </c>
      <c r="J7" s="2">
        <f t="shared" si="0"/>
        <v>0</v>
      </c>
      <c r="K7" s="2" t="str">
        <f t="shared" si="1"/>
        <v>Good differentiator</v>
      </c>
      <c r="L7" s="2" t="str">
        <f t="shared" si="2"/>
        <v>Scored differentiator</v>
      </c>
    </row>
    <row r="8" spans="1:12" ht="15">
      <c r="A8" s="2">
        <v>7</v>
      </c>
      <c r="B8" s="2" t="s">
        <v>13</v>
      </c>
      <c r="C8" s="2" t="s">
        <v>54</v>
      </c>
      <c r="D8" s="4" t="s">
        <v>55</v>
      </c>
      <c r="E8" s="2" t="s">
        <v>2</v>
      </c>
      <c r="F8" s="2">
        <v>2</v>
      </c>
      <c r="G8" s="2" t="s">
        <v>35</v>
      </c>
      <c r="H8" s="2" t="s">
        <v>56</v>
      </c>
      <c r="I8" s="2" t="s">
        <v>37</v>
      </c>
      <c r="J8" s="2">
        <f t="shared" si="0"/>
        <v>1</v>
      </c>
      <c r="K8" s="2" t="str">
        <f t="shared" si="1"/>
        <v>Good differentiator</v>
      </c>
      <c r="L8" s="2" t="str">
        <f t="shared" si="2"/>
        <v>Gate + scored evidence</v>
      </c>
    </row>
    <row r="9" spans="1:12" ht="30">
      <c r="A9" s="2">
        <v>8</v>
      </c>
      <c r="B9" s="2" t="s">
        <v>23</v>
      </c>
      <c r="C9" s="2" t="s">
        <v>57</v>
      </c>
      <c r="D9" s="4" t="s">
        <v>58</v>
      </c>
      <c r="E9" s="2" t="s">
        <v>2</v>
      </c>
      <c r="F9" s="2">
        <v>2</v>
      </c>
      <c r="G9" s="2" t="s">
        <v>35</v>
      </c>
      <c r="H9" s="2" t="s">
        <v>59</v>
      </c>
      <c r="I9" s="2" t="s">
        <v>37</v>
      </c>
      <c r="J9" s="2">
        <f t="shared" si="0"/>
        <v>1</v>
      </c>
      <c r="K9" s="2" t="str">
        <f t="shared" si="1"/>
        <v>Good differentiator</v>
      </c>
      <c r="L9" s="2" t="str">
        <f t="shared" si="2"/>
        <v>Gate + scored evidence</v>
      </c>
    </row>
    <row r="10" spans="1:12" ht="15">
      <c r="A10" s="2">
        <v>9</v>
      </c>
      <c r="B10" s="2" t="s">
        <v>23</v>
      </c>
      <c r="C10" s="2" t="s">
        <v>60</v>
      </c>
      <c r="D10" s="4" t="s">
        <v>61</v>
      </c>
      <c r="E10" s="2" t="s">
        <v>3</v>
      </c>
      <c r="F10" s="2">
        <v>3</v>
      </c>
      <c r="G10" s="2" t="s">
        <v>35</v>
      </c>
      <c r="H10" s="2" t="s">
        <v>62</v>
      </c>
      <c r="I10" s="2" t="s">
        <v>37</v>
      </c>
      <c r="J10" s="2">
        <f t="shared" si="0"/>
        <v>1</v>
      </c>
      <c r="K10" s="2" t="str">
        <f t="shared" si="1"/>
        <v>Good differentiator</v>
      </c>
      <c r="L10" s="2" t="str">
        <f t="shared" si="2"/>
        <v>Gate + scored evidence</v>
      </c>
    </row>
    <row r="11" spans="1:12" ht="30">
      <c r="A11" s="2">
        <v>10</v>
      </c>
      <c r="B11" s="2" t="s">
        <v>23</v>
      </c>
      <c r="C11" s="2" t="s">
        <v>63</v>
      </c>
      <c r="D11" s="4" t="s">
        <v>64</v>
      </c>
      <c r="E11" s="2" t="s">
        <v>3</v>
      </c>
      <c r="F11" s="2">
        <v>3</v>
      </c>
      <c r="G11" s="2" t="s">
        <v>35</v>
      </c>
      <c r="H11" s="2" t="s">
        <v>65</v>
      </c>
      <c r="I11" s="2" t="s">
        <v>37</v>
      </c>
      <c r="J11" s="2">
        <f t="shared" si="0"/>
        <v>1</v>
      </c>
      <c r="K11" s="2" t="str">
        <f t="shared" si="1"/>
        <v>Good differentiator</v>
      </c>
      <c r="L11" s="2" t="str">
        <f t="shared" si="2"/>
        <v>Gate + scored evidence</v>
      </c>
    </row>
    <row r="12" spans="1:12" ht="30">
      <c r="A12" s="2">
        <v>11</v>
      </c>
      <c r="B12" s="2" t="s">
        <v>23</v>
      </c>
      <c r="C12" s="2" t="s">
        <v>66</v>
      </c>
      <c r="D12" s="4" t="s">
        <v>67</v>
      </c>
      <c r="E12" s="2" t="s">
        <v>5</v>
      </c>
      <c r="F12" s="2">
        <v>4</v>
      </c>
      <c r="G12" s="2" t="s">
        <v>35</v>
      </c>
      <c r="H12" s="2" t="s">
        <v>68</v>
      </c>
      <c r="I12" s="2" t="s">
        <v>37</v>
      </c>
      <c r="J12" s="2">
        <f t="shared" si="0"/>
        <v>1</v>
      </c>
      <c r="K12" s="2" t="str">
        <f t="shared" si="1"/>
        <v>Good differentiator</v>
      </c>
      <c r="L12" s="2" t="str">
        <f t="shared" si="2"/>
        <v>Gate + scored evidence</v>
      </c>
    </row>
    <row r="13" spans="1:12" ht="30">
      <c r="A13" s="2">
        <v>12</v>
      </c>
      <c r="B13" s="2" t="s">
        <v>23</v>
      </c>
      <c r="C13" s="2" t="s">
        <v>69</v>
      </c>
      <c r="D13" s="4" t="s">
        <v>70</v>
      </c>
      <c r="E13" s="2" t="s">
        <v>5</v>
      </c>
      <c r="F13" s="2">
        <v>4</v>
      </c>
      <c r="G13" s="2" t="s">
        <v>35</v>
      </c>
      <c r="H13" s="2" t="s">
        <v>71</v>
      </c>
      <c r="I13" s="2" t="s">
        <v>37</v>
      </c>
      <c r="J13" s="2">
        <f t="shared" si="0"/>
        <v>1</v>
      </c>
      <c r="K13" s="2" t="str">
        <f t="shared" si="1"/>
        <v>Good differentiator</v>
      </c>
      <c r="L13" s="2" t="str">
        <f t="shared" si="2"/>
        <v>Gate + scored evidence</v>
      </c>
    </row>
    <row r="14" spans="1:12" ht="30">
      <c r="A14" s="2">
        <v>13</v>
      </c>
      <c r="B14" s="2" t="s">
        <v>23</v>
      </c>
      <c r="C14" s="2" t="s">
        <v>72</v>
      </c>
      <c r="D14" s="4" t="s">
        <v>329</v>
      </c>
      <c r="E14" s="2" t="s">
        <v>3</v>
      </c>
      <c r="F14" s="2">
        <v>3</v>
      </c>
      <c r="G14" s="2" t="s">
        <v>35</v>
      </c>
      <c r="H14" s="2" t="s">
        <v>73</v>
      </c>
      <c r="I14" s="2" t="s">
        <v>37</v>
      </c>
      <c r="J14" s="2">
        <f t="shared" si="0"/>
        <v>1</v>
      </c>
      <c r="K14" s="2" t="str">
        <f t="shared" si="1"/>
        <v>Good differentiator</v>
      </c>
      <c r="L14" s="2" t="str">
        <f t="shared" si="2"/>
        <v>Gate + scored evidence</v>
      </c>
    </row>
    <row r="15" spans="1:12" ht="30">
      <c r="A15" s="2">
        <v>14</v>
      </c>
      <c r="B15" s="2" t="s">
        <v>17</v>
      </c>
      <c r="C15" s="2" t="s">
        <v>74</v>
      </c>
      <c r="D15" s="4" t="s">
        <v>75</v>
      </c>
      <c r="E15" s="2" t="s">
        <v>3</v>
      </c>
      <c r="F15" s="2">
        <v>3</v>
      </c>
      <c r="G15" s="2" t="s">
        <v>35</v>
      </c>
      <c r="H15" s="2" t="s">
        <v>76</v>
      </c>
      <c r="I15" s="2" t="s">
        <v>37</v>
      </c>
      <c r="J15" s="2">
        <f t="shared" si="0"/>
        <v>1</v>
      </c>
      <c r="K15" s="2" t="str">
        <f t="shared" si="1"/>
        <v>Good differentiator</v>
      </c>
      <c r="L15" s="2" t="str">
        <f t="shared" si="2"/>
        <v>Gate + scored evidence</v>
      </c>
    </row>
    <row r="16" spans="1:12" ht="15">
      <c r="A16" s="2">
        <v>15</v>
      </c>
      <c r="B16" s="2" t="s">
        <v>17</v>
      </c>
      <c r="C16" s="2" t="s">
        <v>77</v>
      </c>
      <c r="D16" s="4" t="s">
        <v>78</v>
      </c>
      <c r="E16" s="2" t="s">
        <v>3</v>
      </c>
      <c r="F16" s="2">
        <v>3</v>
      </c>
      <c r="G16" s="2" t="s">
        <v>35</v>
      </c>
      <c r="H16" s="2" t="s">
        <v>79</v>
      </c>
      <c r="I16" s="2" t="s">
        <v>37</v>
      </c>
      <c r="J16" s="2">
        <f t="shared" si="0"/>
        <v>1</v>
      </c>
      <c r="K16" s="2" t="str">
        <f t="shared" si="1"/>
        <v>Good differentiator</v>
      </c>
      <c r="L16" s="2" t="str">
        <f t="shared" si="2"/>
        <v>Gate + scored evidence</v>
      </c>
    </row>
    <row r="17" spans="1:12" ht="30">
      <c r="A17" s="2">
        <v>16</v>
      </c>
      <c r="B17" s="2" t="s">
        <v>17</v>
      </c>
      <c r="C17" s="2" t="s">
        <v>80</v>
      </c>
      <c r="D17" s="4" t="s">
        <v>81</v>
      </c>
      <c r="E17" s="2" t="s">
        <v>5</v>
      </c>
      <c r="F17" s="2">
        <v>4</v>
      </c>
      <c r="G17" s="2" t="s">
        <v>35</v>
      </c>
      <c r="H17" s="2" t="s">
        <v>82</v>
      </c>
      <c r="I17" s="2" t="s">
        <v>37</v>
      </c>
      <c r="J17" s="2">
        <f t="shared" si="0"/>
        <v>1</v>
      </c>
      <c r="K17" s="2" t="str">
        <f t="shared" si="1"/>
        <v>Good differentiator</v>
      </c>
      <c r="L17" s="2" t="str">
        <f t="shared" si="2"/>
        <v>Gate + scored evidence</v>
      </c>
    </row>
    <row r="18" spans="1:12" ht="30">
      <c r="A18" s="2">
        <v>17</v>
      </c>
      <c r="B18" s="2" t="s">
        <v>17</v>
      </c>
      <c r="C18" s="2" t="s">
        <v>83</v>
      </c>
      <c r="D18" s="4" t="s">
        <v>84</v>
      </c>
      <c r="E18" s="2" t="s">
        <v>5</v>
      </c>
      <c r="F18" s="2">
        <v>4</v>
      </c>
      <c r="G18" s="2" t="s">
        <v>35</v>
      </c>
      <c r="H18" s="2" t="s">
        <v>85</v>
      </c>
      <c r="I18" s="2" t="s">
        <v>37</v>
      </c>
      <c r="J18" s="2">
        <f t="shared" si="0"/>
        <v>1</v>
      </c>
      <c r="K18" s="2" t="str">
        <f t="shared" si="1"/>
        <v>Good differentiator</v>
      </c>
      <c r="L18" s="2" t="str">
        <f t="shared" si="2"/>
        <v>Gate + scored evidence</v>
      </c>
    </row>
    <row r="19" spans="1:12" ht="15">
      <c r="A19" s="2">
        <v>18</v>
      </c>
      <c r="B19" s="2" t="s">
        <v>17</v>
      </c>
      <c r="C19" s="2" t="s">
        <v>86</v>
      </c>
      <c r="D19" s="4" t="s">
        <v>87</v>
      </c>
      <c r="E19" s="2" t="s">
        <v>4</v>
      </c>
      <c r="F19" s="2">
        <v>4</v>
      </c>
      <c r="G19" s="2" t="s">
        <v>35</v>
      </c>
      <c r="H19" s="2" t="s">
        <v>88</v>
      </c>
      <c r="I19" s="2" t="s">
        <v>37</v>
      </c>
      <c r="J19" s="2">
        <f t="shared" si="0"/>
        <v>1</v>
      </c>
      <c r="K19" s="2" t="str">
        <f t="shared" si="1"/>
        <v>Good differentiator</v>
      </c>
      <c r="L19" s="2" t="str">
        <f t="shared" si="2"/>
        <v>Gate + scored evidence</v>
      </c>
    </row>
    <row r="20" spans="1:12" ht="30">
      <c r="A20" s="2">
        <v>19</v>
      </c>
      <c r="B20" s="2" t="s">
        <v>8</v>
      </c>
      <c r="C20" s="2" t="s">
        <v>89</v>
      </c>
      <c r="D20" s="4" t="s">
        <v>90</v>
      </c>
      <c r="E20" s="2" t="s">
        <v>3</v>
      </c>
      <c r="F20" s="2">
        <v>3</v>
      </c>
      <c r="G20" s="2" t="s">
        <v>35</v>
      </c>
      <c r="H20" s="2" t="s">
        <v>91</v>
      </c>
      <c r="I20" s="2" t="s">
        <v>37</v>
      </c>
      <c r="J20" s="2">
        <f t="shared" si="0"/>
        <v>1</v>
      </c>
      <c r="K20" s="2" t="str">
        <f t="shared" si="1"/>
        <v>Good differentiator</v>
      </c>
      <c r="L20" s="2" t="str">
        <f t="shared" si="2"/>
        <v>Gate + scored evidence</v>
      </c>
    </row>
    <row r="21" spans="1:12" ht="30">
      <c r="A21" s="2">
        <v>20</v>
      </c>
      <c r="B21" s="2" t="s">
        <v>8</v>
      </c>
      <c r="C21" s="2" t="s">
        <v>92</v>
      </c>
      <c r="D21" s="4" t="s">
        <v>93</v>
      </c>
      <c r="E21" s="2" t="s">
        <v>5</v>
      </c>
      <c r="F21" s="2">
        <v>4</v>
      </c>
      <c r="G21" s="2" t="s">
        <v>35</v>
      </c>
      <c r="H21" s="2" t="s">
        <v>94</v>
      </c>
      <c r="I21" s="2" t="s">
        <v>37</v>
      </c>
      <c r="J21" s="2">
        <f t="shared" si="0"/>
        <v>1</v>
      </c>
      <c r="K21" s="2" t="str">
        <f t="shared" si="1"/>
        <v>Good differentiator</v>
      </c>
      <c r="L21" s="2" t="str">
        <f t="shared" si="2"/>
        <v>Gate + scored evidence</v>
      </c>
    </row>
    <row r="22" spans="1:12" ht="30">
      <c r="A22" s="2">
        <v>21</v>
      </c>
      <c r="B22" s="2" t="s">
        <v>8</v>
      </c>
      <c r="C22" s="2" t="s">
        <v>95</v>
      </c>
      <c r="D22" s="4" t="s">
        <v>96</v>
      </c>
      <c r="E22" s="2" t="s">
        <v>5</v>
      </c>
      <c r="F22" s="2">
        <v>4</v>
      </c>
      <c r="G22" s="2" t="s">
        <v>35</v>
      </c>
      <c r="H22" s="2" t="s">
        <v>97</v>
      </c>
      <c r="I22" s="2" t="s">
        <v>37</v>
      </c>
      <c r="J22" s="2">
        <f t="shared" si="0"/>
        <v>1</v>
      </c>
      <c r="K22" s="2" t="str">
        <f t="shared" si="1"/>
        <v>Good differentiator</v>
      </c>
      <c r="L22" s="2" t="str">
        <f t="shared" si="2"/>
        <v>Gate + scored evidence</v>
      </c>
    </row>
    <row r="23" spans="1:12" ht="30">
      <c r="A23" s="2">
        <v>22</v>
      </c>
      <c r="B23" s="2" t="s">
        <v>8</v>
      </c>
      <c r="C23" s="2" t="s">
        <v>98</v>
      </c>
      <c r="D23" s="4" t="s">
        <v>99</v>
      </c>
      <c r="E23" s="2" t="s">
        <v>5</v>
      </c>
      <c r="F23" s="2">
        <v>4</v>
      </c>
      <c r="G23" s="2" t="s">
        <v>35</v>
      </c>
      <c r="H23" s="2" t="s">
        <v>100</v>
      </c>
      <c r="I23" s="2" t="s">
        <v>37</v>
      </c>
      <c r="J23" s="2">
        <f t="shared" si="0"/>
        <v>1</v>
      </c>
      <c r="K23" s="2" t="str">
        <f t="shared" si="1"/>
        <v>Good differentiator</v>
      </c>
      <c r="L23" s="2" t="str">
        <f t="shared" si="2"/>
        <v>Gate + scored evidence</v>
      </c>
    </row>
    <row r="24" spans="1:12" ht="30">
      <c r="A24" s="2">
        <v>23</v>
      </c>
      <c r="B24" s="2" t="s">
        <v>8</v>
      </c>
      <c r="C24" s="2" t="s">
        <v>101</v>
      </c>
      <c r="D24" s="4" t="s">
        <v>102</v>
      </c>
      <c r="E24" s="2" t="s">
        <v>5</v>
      </c>
      <c r="F24" s="2">
        <v>4</v>
      </c>
      <c r="G24" s="2" t="s">
        <v>52</v>
      </c>
      <c r="H24" s="2" t="s">
        <v>103</v>
      </c>
      <c r="I24" s="2" t="s">
        <v>37</v>
      </c>
      <c r="J24" s="2">
        <f t="shared" si="0"/>
        <v>0</v>
      </c>
      <c r="K24" s="2" t="str">
        <f t="shared" si="1"/>
        <v>Good differentiator</v>
      </c>
      <c r="L24" s="2" t="str">
        <f t="shared" si="2"/>
        <v>Scored differentiator</v>
      </c>
    </row>
    <row r="25" spans="1:12" ht="30">
      <c r="A25" s="2">
        <v>24</v>
      </c>
      <c r="B25" s="2" t="s">
        <v>8</v>
      </c>
      <c r="C25" s="2" t="s">
        <v>104</v>
      </c>
      <c r="D25" s="4" t="s">
        <v>105</v>
      </c>
      <c r="E25" s="2" t="s">
        <v>5</v>
      </c>
      <c r="F25" s="2">
        <v>4</v>
      </c>
      <c r="G25" s="2" t="s">
        <v>35</v>
      </c>
      <c r="H25" s="2" t="s">
        <v>106</v>
      </c>
      <c r="I25" s="2" t="s">
        <v>37</v>
      </c>
      <c r="J25" s="2">
        <f t="shared" si="0"/>
        <v>1</v>
      </c>
      <c r="K25" s="2" t="str">
        <f t="shared" si="1"/>
        <v>Good differentiator</v>
      </c>
      <c r="L25" s="2" t="str">
        <f t="shared" si="2"/>
        <v>Gate + scored evidence</v>
      </c>
    </row>
    <row r="26" spans="1:12" ht="30">
      <c r="A26" s="2">
        <v>25</v>
      </c>
      <c r="B26" s="2" t="s">
        <v>8</v>
      </c>
      <c r="C26" s="2" t="s">
        <v>107</v>
      </c>
      <c r="D26" s="4" t="s">
        <v>108</v>
      </c>
      <c r="E26" s="2" t="s">
        <v>5</v>
      </c>
      <c r="F26" s="2">
        <v>4</v>
      </c>
      <c r="G26" s="2" t="s">
        <v>35</v>
      </c>
      <c r="H26" s="2" t="s">
        <v>109</v>
      </c>
      <c r="I26" s="2" t="s">
        <v>37</v>
      </c>
      <c r="J26" s="2">
        <f t="shared" si="0"/>
        <v>1</v>
      </c>
      <c r="K26" s="2" t="str">
        <f t="shared" si="1"/>
        <v>Good differentiator</v>
      </c>
      <c r="L26" s="2" t="str">
        <f t="shared" si="2"/>
        <v>Gate + scored evidence</v>
      </c>
    </row>
    <row r="27" spans="1:12" ht="30">
      <c r="A27" s="2">
        <v>26</v>
      </c>
      <c r="B27" s="2" t="s">
        <v>12</v>
      </c>
      <c r="C27" s="2" t="s">
        <v>110</v>
      </c>
      <c r="D27" s="4" t="s">
        <v>111</v>
      </c>
      <c r="E27" s="2" t="s">
        <v>5</v>
      </c>
      <c r="F27" s="2">
        <v>5</v>
      </c>
      <c r="G27" s="2" t="s">
        <v>35</v>
      </c>
      <c r="H27" s="2" t="s">
        <v>112</v>
      </c>
      <c r="I27" s="2" t="s">
        <v>37</v>
      </c>
      <c r="J27" s="2">
        <f t="shared" si="0"/>
        <v>1</v>
      </c>
      <c r="K27" s="2" t="str">
        <f t="shared" si="1"/>
        <v>Good differentiator</v>
      </c>
      <c r="L27" s="2" t="str">
        <f t="shared" si="2"/>
        <v>Gate + scored evidence</v>
      </c>
    </row>
    <row r="28" spans="1:12" ht="15">
      <c r="A28" s="2">
        <v>27</v>
      </c>
      <c r="B28" s="2" t="s">
        <v>12</v>
      </c>
      <c r="C28" s="2" t="s">
        <v>113</v>
      </c>
      <c r="D28" s="4" t="s">
        <v>114</v>
      </c>
      <c r="E28" s="2" t="s">
        <v>5</v>
      </c>
      <c r="F28" s="2">
        <v>5</v>
      </c>
      <c r="G28" s="2" t="s">
        <v>35</v>
      </c>
      <c r="H28" s="2" t="s">
        <v>115</v>
      </c>
      <c r="I28" s="2" t="s">
        <v>37</v>
      </c>
      <c r="J28" s="2">
        <f t="shared" si="0"/>
        <v>1</v>
      </c>
      <c r="K28" s="2" t="str">
        <f t="shared" si="1"/>
        <v>Good differentiator</v>
      </c>
      <c r="L28" s="2" t="str">
        <f t="shared" si="2"/>
        <v>Gate + scored evidence</v>
      </c>
    </row>
    <row r="29" spans="1:12" ht="15">
      <c r="A29" s="2">
        <v>28</v>
      </c>
      <c r="B29" s="2" t="s">
        <v>12</v>
      </c>
      <c r="C29" s="2" t="s">
        <v>116</v>
      </c>
      <c r="D29" s="4" t="s">
        <v>117</v>
      </c>
      <c r="E29" s="2" t="s">
        <v>5</v>
      </c>
      <c r="F29" s="2">
        <v>4</v>
      </c>
      <c r="G29" s="2" t="s">
        <v>35</v>
      </c>
      <c r="H29" s="2" t="s">
        <v>118</v>
      </c>
      <c r="I29" s="2" t="s">
        <v>37</v>
      </c>
      <c r="J29" s="2">
        <f t="shared" si="0"/>
        <v>1</v>
      </c>
      <c r="K29" s="2" t="str">
        <f t="shared" si="1"/>
        <v>Good differentiator</v>
      </c>
      <c r="L29" s="2" t="str">
        <f t="shared" si="2"/>
        <v>Gate + scored evidence</v>
      </c>
    </row>
    <row r="30" spans="1:12" ht="30">
      <c r="A30" s="2">
        <v>29</v>
      </c>
      <c r="B30" s="2" t="s">
        <v>12</v>
      </c>
      <c r="C30" s="2" t="s">
        <v>119</v>
      </c>
      <c r="D30" s="4" t="s">
        <v>120</v>
      </c>
      <c r="E30" s="2" t="s">
        <v>5</v>
      </c>
      <c r="F30" s="2">
        <v>5</v>
      </c>
      <c r="G30" s="2" t="s">
        <v>35</v>
      </c>
      <c r="H30" s="2" t="s">
        <v>121</v>
      </c>
      <c r="I30" s="2" t="s">
        <v>37</v>
      </c>
      <c r="J30" s="2">
        <f t="shared" si="0"/>
        <v>1</v>
      </c>
      <c r="K30" s="2" t="str">
        <f t="shared" si="1"/>
        <v>Good differentiator</v>
      </c>
      <c r="L30" s="2" t="str">
        <f t="shared" si="2"/>
        <v>Gate + scored evidence</v>
      </c>
    </row>
    <row r="31" spans="1:12" ht="15">
      <c r="A31" s="2">
        <v>30</v>
      </c>
      <c r="B31" s="2" t="s">
        <v>12</v>
      </c>
      <c r="C31" s="2" t="s">
        <v>122</v>
      </c>
      <c r="D31" s="4" t="s">
        <v>123</v>
      </c>
      <c r="E31" s="2" t="s">
        <v>5</v>
      </c>
      <c r="F31" s="2">
        <v>5</v>
      </c>
      <c r="G31" s="2" t="s">
        <v>35</v>
      </c>
      <c r="H31" s="2" t="s">
        <v>124</v>
      </c>
      <c r="I31" s="2" t="s">
        <v>37</v>
      </c>
      <c r="J31" s="2">
        <f t="shared" si="0"/>
        <v>1</v>
      </c>
      <c r="K31" s="2" t="str">
        <f t="shared" si="1"/>
        <v>Good differentiator</v>
      </c>
      <c r="L31" s="2" t="str">
        <f t="shared" si="2"/>
        <v>Gate + scored evidence</v>
      </c>
    </row>
    <row r="32" spans="1:12" ht="15">
      <c r="A32" s="2">
        <v>31</v>
      </c>
      <c r="B32" s="2" t="s">
        <v>12</v>
      </c>
      <c r="C32" s="2" t="s">
        <v>125</v>
      </c>
      <c r="D32" s="4" t="s">
        <v>126</v>
      </c>
      <c r="E32" s="2" t="s">
        <v>5</v>
      </c>
      <c r="F32" s="2">
        <v>4</v>
      </c>
      <c r="G32" s="2" t="s">
        <v>52</v>
      </c>
      <c r="H32" s="2" t="s">
        <v>127</v>
      </c>
      <c r="I32" s="2" t="s">
        <v>37</v>
      </c>
      <c r="J32" s="2">
        <f t="shared" si="0"/>
        <v>0</v>
      </c>
      <c r="K32" s="2" t="str">
        <f t="shared" si="1"/>
        <v>Good differentiator</v>
      </c>
      <c r="L32" s="2" t="str">
        <f t="shared" si="2"/>
        <v>Scored differentiator</v>
      </c>
    </row>
    <row r="33" spans="1:12" ht="30">
      <c r="A33" s="2">
        <v>32</v>
      </c>
      <c r="B33" s="2" t="s">
        <v>11</v>
      </c>
      <c r="C33" s="2" t="s">
        <v>128</v>
      </c>
      <c r="D33" s="4" t="s">
        <v>330</v>
      </c>
      <c r="E33" s="2" t="s">
        <v>5</v>
      </c>
      <c r="F33" s="2">
        <v>4</v>
      </c>
      <c r="G33" s="2" t="s">
        <v>35</v>
      </c>
      <c r="H33" s="2" t="s">
        <v>129</v>
      </c>
      <c r="I33" s="2" t="s">
        <v>37</v>
      </c>
      <c r="J33" s="2">
        <f t="shared" si="0"/>
        <v>1</v>
      </c>
      <c r="K33" s="2" t="str">
        <f t="shared" si="1"/>
        <v>Good differentiator</v>
      </c>
      <c r="L33" s="2" t="str">
        <f t="shared" si="2"/>
        <v>Gate + scored evidence</v>
      </c>
    </row>
    <row r="34" spans="1:12" ht="30">
      <c r="A34" s="2">
        <v>33</v>
      </c>
      <c r="B34" s="2" t="s">
        <v>11</v>
      </c>
      <c r="C34" s="2" t="s">
        <v>130</v>
      </c>
      <c r="D34" s="4" t="s">
        <v>131</v>
      </c>
      <c r="E34" s="2" t="s">
        <v>3</v>
      </c>
      <c r="F34" s="2">
        <v>3</v>
      </c>
      <c r="G34" s="2" t="s">
        <v>35</v>
      </c>
      <c r="H34" s="2" t="s">
        <v>132</v>
      </c>
      <c r="I34" s="2" t="s">
        <v>37</v>
      </c>
      <c r="J34" s="2">
        <f t="shared" ref="J34:J60" si="3">IF(G34="Mandatory",1,0)</f>
        <v>1</v>
      </c>
      <c r="K34" s="2" t="str">
        <f t="shared" ref="K34:K60" si="4">IF(E34="Highly Restrictive","Use as scored or allow equivalent wording",IF(E34="Common","Low differentiation","Good differentiator"))</f>
        <v>Good differentiator</v>
      </c>
      <c r="L34" s="2" t="str">
        <f t="shared" ref="L34:L60" si="5">IF(G34="Mandatory","Gate + scored evidence","Scored differentiator")</f>
        <v>Gate + scored evidence</v>
      </c>
    </row>
    <row r="35" spans="1:12" ht="30">
      <c r="A35" s="2">
        <v>34</v>
      </c>
      <c r="B35" s="2" t="s">
        <v>11</v>
      </c>
      <c r="C35" s="2" t="s">
        <v>133</v>
      </c>
      <c r="D35" s="4" t="s">
        <v>134</v>
      </c>
      <c r="E35" s="2" t="s">
        <v>5</v>
      </c>
      <c r="F35" s="2">
        <v>5</v>
      </c>
      <c r="G35" s="2" t="s">
        <v>35</v>
      </c>
      <c r="H35" s="2" t="s">
        <v>135</v>
      </c>
      <c r="I35" s="2" t="s">
        <v>37</v>
      </c>
      <c r="J35" s="2">
        <f t="shared" si="3"/>
        <v>1</v>
      </c>
      <c r="K35" s="2" t="str">
        <f t="shared" si="4"/>
        <v>Good differentiator</v>
      </c>
      <c r="L35" s="2" t="str">
        <f t="shared" si="5"/>
        <v>Gate + scored evidence</v>
      </c>
    </row>
    <row r="36" spans="1:12" ht="30">
      <c r="A36" s="2">
        <v>35</v>
      </c>
      <c r="B36" s="2" t="s">
        <v>11</v>
      </c>
      <c r="C36" s="2" t="s">
        <v>136</v>
      </c>
      <c r="D36" s="4" t="s">
        <v>137</v>
      </c>
      <c r="E36" s="2" t="s">
        <v>5</v>
      </c>
      <c r="F36" s="2">
        <v>4</v>
      </c>
      <c r="G36" s="2" t="s">
        <v>35</v>
      </c>
      <c r="H36" s="2" t="s">
        <v>138</v>
      </c>
      <c r="I36" s="2" t="s">
        <v>37</v>
      </c>
      <c r="J36" s="2">
        <f t="shared" si="3"/>
        <v>1</v>
      </c>
      <c r="K36" s="2" t="str">
        <f t="shared" si="4"/>
        <v>Good differentiator</v>
      </c>
      <c r="L36" s="2" t="str">
        <f t="shared" si="5"/>
        <v>Gate + scored evidence</v>
      </c>
    </row>
    <row r="37" spans="1:12" ht="30">
      <c r="A37" s="2">
        <v>36</v>
      </c>
      <c r="B37" s="2" t="s">
        <v>11</v>
      </c>
      <c r="C37" s="2" t="s">
        <v>139</v>
      </c>
      <c r="D37" s="4" t="s">
        <v>140</v>
      </c>
      <c r="E37" s="2" t="s">
        <v>4</v>
      </c>
      <c r="F37" s="2">
        <v>4</v>
      </c>
      <c r="G37" s="2" t="s">
        <v>52</v>
      </c>
      <c r="H37" s="2" t="s">
        <v>141</v>
      </c>
      <c r="I37" s="2" t="s">
        <v>37</v>
      </c>
      <c r="J37" s="2">
        <f t="shared" si="3"/>
        <v>0</v>
      </c>
      <c r="K37" s="2" t="str">
        <f t="shared" si="4"/>
        <v>Good differentiator</v>
      </c>
      <c r="L37" s="2" t="str">
        <f t="shared" si="5"/>
        <v>Scored differentiator</v>
      </c>
    </row>
    <row r="38" spans="1:12" ht="15">
      <c r="A38" s="2">
        <v>37</v>
      </c>
      <c r="B38" s="2" t="s">
        <v>11</v>
      </c>
      <c r="C38" s="2" t="s">
        <v>142</v>
      </c>
      <c r="D38" s="4" t="s">
        <v>143</v>
      </c>
      <c r="E38" s="2" t="s">
        <v>5</v>
      </c>
      <c r="F38" s="2">
        <v>5</v>
      </c>
      <c r="G38" s="2" t="s">
        <v>35</v>
      </c>
      <c r="H38" s="2" t="s">
        <v>144</v>
      </c>
      <c r="I38" s="2" t="s">
        <v>37</v>
      </c>
      <c r="J38" s="2">
        <f t="shared" si="3"/>
        <v>1</v>
      </c>
      <c r="K38" s="2" t="str">
        <f t="shared" si="4"/>
        <v>Good differentiator</v>
      </c>
      <c r="L38" s="2" t="str">
        <f t="shared" si="5"/>
        <v>Gate + scored evidence</v>
      </c>
    </row>
    <row r="39" spans="1:12" ht="30">
      <c r="A39" s="2">
        <v>38</v>
      </c>
      <c r="B39" s="2" t="s">
        <v>11</v>
      </c>
      <c r="C39" s="2" t="s">
        <v>145</v>
      </c>
      <c r="D39" s="4" t="s">
        <v>146</v>
      </c>
      <c r="E39" s="2" t="s">
        <v>5</v>
      </c>
      <c r="F39" s="2">
        <v>5</v>
      </c>
      <c r="G39" s="2" t="s">
        <v>35</v>
      </c>
      <c r="H39" s="2" t="s">
        <v>147</v>
      </c>
      <c r="I39" s="2" t="s">
        <v>37</v>
      </c>
      <c r="J39" s="2">
        <f t="shared" si="3"/>
        <v>1</v>
      </c>
      <c r="K39" s="2" t="str">
        <f t="shared" si="4"/>
        <v>Good differentiator</v>
      </c>
      <c r="L39" s="2" t="str">
        <f t="shared" si="5"/>
        <v>Gate + scored evidence</v>
      </c>
    </row>
    <row r="40" spans="1:12" ht="30">
      <c r="A40" s="2">
        <v>39</v>
      </c>
      <c r="B40" s="2" t="s">
        <v>11</v>
      </c>
      <c r="C40" s="2" t="s">
        <v>148</v>
      </c>
      <c r="D40" s="4" t="s">
        <v>149</v>
      </c>
      <c r="E40" s="2" t="s">
        <v>5</v>
      </c>
      <c r="F40" s="2">
        <v>5</v>
      </c>
      <c r="G40" s="2" t="s">
        <v>35</v>
      </c>
      <c r="H40" s="2" t="s">
        <v>150</v>
      </c>
      <c r="I40" s="2" t="s">
        <v>37</v>
      </c>
      <c r="J40" s="2">
        <f t="shared" si="3"/>
        <v>1</v>
      </c>
      <c r="K40" s="2" t="str">
        <f t="shared" si="4"/>
        <v>Good differentiator</v>
      </c>
      <c r="L40" s="2" t="str">
        <f t="shared" si="5"/>
        <v>Gate + scored evidence</v>
      </c>
    </row>
    <row r="41" spans="1:12" ht="15">
      <c r="A41" s="2">
        <v>40</v>
      </c>
      <c r="B41" s="2" t="s">
        <v>11</v>
      </c>
      <c r="C41" s="2" t="s">
        <v>151</v>
      </c>
      <c r="D41" s="4" t="s">
        <v>152</v>
      </c>
      <c r="E41" s="2" t="s">
        <v>5</v>
      </c>
      <c r="F41" s="2">
        <v>5</v>
      </c>
      <c r="G41" s="2" t="s">
        <v>52</v>
      </c>
      <c r="H41" s="2" t="s">
        <v>153</v>
      </c>
      <c r="I41" s="2" t="s">
        <v>37</v>
      </c>
      <c r="J41" s="2">
        <f t="shared" si="3"/>
        <v>0</v>
      </c>
      <c r="K41" s="2" t="str">
        <f t="shared" si="4"/>
        <v>Good differentiator</v>
      </c>
      <c r="L41" s="2" t="str">
        <f t="shared" si="5"/>
        <v>Scored differentiator</v>
      </c>
    </row>
    <row r="42" spans="1:12" ht="30">
      <c r="A42" s="2">
        <v>41</v>
      </c>
      <c r="B42" s="2" t="s">
        <v>18</v>
      </c>
      <c r="C42" s="2" t="s">
        <v>154</v>
      </c>
      <c r="D42" s="4" t="s">
        <v>155</v>
      </c>
      <c r="E42" s="2" t="s">
        <v>4</v>
      </c>
      <c r="F42" s="2">
        <v>4</v>
      </c>
      <c r="G42" s="2" t="s">
        <v>35</v>
      </c>
      <c r="H42" s="2" t="s">
        <v>156</v>
      </c>
      <c r="I42" s="2" t="s">
        <v>37</v>
      </c>
      <c r="J42" s="2">
        <f t="shared" si="3"/>
        <v>1</v>
      </c>
      <c r="K42" s="2" t="str">
        <f t="shared" si="4"/>
        <v>Good differentiator</v>
      </c>
      <c r="L42" s="2" t="str">
        <f t="shared" si="5"/>
        <v>Gate + scored evidence</v>
      </c>
    </row>
    <row r="43" spans="1:12" ht="30">
      <c r="A43" s="2">
        <v>42</v>
      </c>
      <c r="B43" s="2" t="s">
        <v>18</v>
      </c>
      <c r="C43" s="2" t="s">
        <v>157</v>
      </c>
      <c r="D43" s="4" t="s">
        <v>158</v>
      </c>
      <c r="E43" s="2" t="s">
        <v>5</v>
      </c>
      <c r="F43" s="2">
        <v>5</v>
      </c>
      <c r="G43" s="2" t="s">
        <v>35</v>
      </c>
      <c r="H43" s="2" t="s">
        <v>159</v>
      </c>
      <c r="I43" s="2" t="s">
        <v>37</v>
      </c>
      <c r="J43" s="2">
        <f t="shared" si="3"/>
        <v>1</v>
      </c>
      <c r="K43" s="2" t="str">
        <f t="shared" si="4"/>
        <v>Good differentiator</v>
      </c>
      <c r="L43" s="2" t="str">
        <f t="shared" si="5"/>
        <v>Gate + scored evidence</v>
      </c>
    </row>
    <row r="44" spans="1:12" ht="30">
      <c r="A44" s="2">
        <v>43</v>
      </c>
      <c r="B44" s="2" t="s">
        <v>18</v>
      </c>
      <c r="C44" s="2" t="s">
        <v>160</v>
      </c>
      <c r="D44" s="4" t="s">
        <v>331</v>
      </c>
      <c r="E44" s="2" t="s">
        <v>5</v>
      </c>
      <c r="F44" s="2">
        <v>5</v>
      </c>
      <c r="G44" s="2" t="s">
        <v>35</v>
      </c>
      <c r="H44" s="2" t="s">
        <v>161</v>
      </c>
      <c r="I44" s="2" t="s">
        <v>37</v>
      </c>
      <c r="J44" s="2">
        <f t="shared" si="3"/>
        <v>1</v>
      </c>
      <c r="K44" s="2" t="str">
        <f t="shared" si="4"/>
        <v>Good differentiator</v>
      </c>
      <c r="L44" s="2" t="str">
        <f t="shared" si="5"/>
        <v>Gate + scored evidence</v>
      </c>
    </row>
    <row r="45" spans="1:12" ht="15">
      <c r="A45" s="2">
        <v>46</v>
      </c>
      <c r="B45" s="2" t="s">
        <v>18</v>
      </c>
      <c r="C45" s="2" t="s">
        <v>162</v>
      </c>
      <c r="D45" s="4" t="s">
        <v>163</v>
      </c>
      <c r="E45" s="2" t="s">
        <v>5</v>
      </c>
      <c r="F45" s="2">
        <v>5</v>
      </c>
      <c r="G45" s="2" t="s">
        <v>35</v>
      </c>
      <c r="H45" s="2" t="s">
        <v>164</v>
      </c>
      <c r="I45" s="2" t="s">
        <v>37</v>
      </c>
      <c r="J45" s="2">
        <f t="shared" si="3"/>
        <v>1</v>
      </c>
      <c r="K45" s="2" t="str">
        <f t="shared" si="4"/>
        <v>Good differentiator</v>
      </c>
      <c r="L45" s="2" t="str">
        <f t="shared" si="5"/>
        <v>Gate + scored evidence</v>
      </c>
    </row>
    <row r="46" spans="1:12" ht="30">
      <c r="A46" s="2">
        <v>47</v>
      </c>
      <c r="B46" s="2" t="s">
        <v>18</v>
      </c>
      <c r="C46" s="2" t="s">
        <v>165</v>
      </c>
      <c r="D46" s="4" t="s">
        <v>166</v>
      </c>
      <c r="E46" s="2" t="s">
        <v>5</v>
      </c>
      <c r="F46" s="2">
        <v>5</v>
      </c>
      <c r="G46" s="2" t="s">
        <v>35</v>
      </c>
      <c r="H46" s="2" t="s">
        <v>167</v>
      </c>
      <c r="I46" s="2" t="s">
        <v>37</v>
      </c>
      <c r="J46" s="2">
        <f t="shared" si="3"/>
        <v>1</v>
      </c>
      <c r="K46" s="2" t="str">
        <f t="shared" si="4"/>
        <v>Good differentiator</v>
      </c>
      <c r="L46" s="2" t="str">
        <f t="shared" si="5"/>
        <v>Gate + scored evidence</v>
      </c>
    </row>
    <row r="47" spans="1:12" ht="30">
      <c r="A47" s="2">
        <v>50</v>
      </c>
      <c r="B47" s="2" t="s">
        <v>21</v>
      </c>
      <c r="C47" s="2" t="s">
        <v>168</v>
      </c>
      <c r="D47" s="4" t="s">
        <v>169</v>
      </c>
      <c r="E47" s="2" t="s">
        <v>3</v>
      </c>
      <c r="F47" s="2">
        <v>3</v>
      </c>
      <c r="G47" s="2" t="s">
        <v>35</v>
      </c>
      <c r="H47" s="2" t="s">
        <v>170</v>
      </c>
      <c r="I47" s="2" t="s">
        <v>37</v>
      </c>
      <c r="J47" s="2">
        <f t="shared" si="3"/>
        <v>1</v>
      </c>
      <c r="K47" s="2" t="str">
        <f t="shared" si="4"/>
        <v>Good differentiator</v>
      </c>
      <c r="L47" s="2" t="str">
        <f t="shared" si="5"/>
        <v>Gate + scored evidence</v>
      </c>
    </row>
    <row r="48" spans="1:12" ht="15">
      <c r="A48" s="2">
        <v>51</v>
      </c>
      <c r="B48" s="2" t="s">
        <v>21</v>
      </c>
      <c r="C48" s="2" t="s">
        <v>171</v>
      </c>
      <c r="D48" s="4" t="s">
        <v>332</v>
      </c>
      <c r="E48" s="2" t="s">
        <v>5</v>
      </c>
      <c r="F48" s="2">
        <v>5</v>
      </c>
      <c r="G48" s="2" t="s">
        <v>35</v>
      </c>
      <c r="H48" s="2" t="s">
        <v>172</v>
      </c>
      <c r="I48" s="2" t="s">
        <v>37</v>
      </c>
      <c r="J48" s="2">
        <f t="shared" si="3"/>
        <v>1</v>
      </c>
      <c r="K48" s="2" t="str">
        <f t="shared" si="4"/>
        <v>Good differentiator</v>
      </c>
      <c r="L48" s="2" t="str">
        <f t="shared" si="5"/>
        <v>Gate + scored evidence</v>
      </c>
    </row>
    <row r="49" spans="1:12" ht="15">
      <c r="A49" s="2">
        <v>52</v>
      </c>
      <c r="B49" s="2" t="s">
        <v>21</v>
      </c>
      <c r="C49" s="2" t="s">
        <v>173</v>
      </c>
      <c r="D49" s="4" t="s">
        <v>333</v>
      </c>
      <c r="E49" s="2" t="s">
        <v>5</v>
      </c>
      <c r="F49" s="2">
        <v>5</v>
      </c>
      <c r="G49" s="2" t="s">
        <v>35</v>
      </c>
      <c r="H49" s="2" t="s">
        <v>174</v>
      </c>
      <c r="I49" s="2" t="s">
        <v>37</v>
      </c>
      <c r="J49" s="2">
        <f t="shared" si="3"/>
        <v>1</v>
      </c>
      <c r="K49" s="2" t="str">
        <f t="shared" si="4"/>
        <v>Good differentiator</v>
      </c>
      <c r="L49" s="2" t="str">
        <f t="shared" si="5"/>
        <v>Gate + scored evidence</v>
      </c>
    </row>
    <row r="50" spans="1:12" ht="30">
      <c r="A50" s="2">
        <v>53</v>
      </c>
      <c r="B50" s="2" t="s">
        <v>21</v>
      </c>
      <c r="C50" s="2" t="s">
        <v>175</v>
      </c>
      <c r="D50" s="4" t="s">
        <v>176</v>
      </c>
      <c r="E50" s="2" t="s">
        <v>4</v>
      </c>
      <c r="F50" s="2">
        <v>4</v>
      </c>
      <c r="G50" s="2" t="s">
        <v>35</v>
      </c>
      <c r="H50" s="2" t="s">
        <v>177</v>
      </c>
      <c r="I50" s="2" t="s">
        <v>37</v>
      </c>
      <c r="J50" s="2">
        <f t="shared" si="3"/>
        <v>1</v>
      </c>
      <c r="K50" s="2" t="str">
        <f t="shared" si="4"/>
        <v>Good differentiator</v>
      </c>
      <c r="L50" s="2" t="str">
        <f t="shared" si="5"/>
        <v>Gate + scored evidence</v>
      </c>
    </row>
    <row r="51" spans="1:12" ht="30">
      <c r="A51" s="2">
        <v>54</v>
      </c>
      <c r="B51" s="2" t="s">
        <v>21</v>
      </c>
      <c r="C51" s="2" t="s">
        <v>178</v>
      </c>
      <c r="D51" s="4" t="s">
        <v>179</v>
      </c>
      <c r="E51" s="2" t="s">
        <v>6</v>
      </c>
      <c r="F51" s="2">
        <v>5</v>
      </c>
      <c r="G51" s="2" t="s">
        <v>52</v>
      </c>
      <c r="H51" s="2" t="s">
        <v>180</v>
      </c>
      <c r="I51" s="2" t="s">
        <v>37</v>
      </c>
      <c r="J51" s="2">
        <f t="shared" si="3"/>
        <v>0</v>
      </c>
      <c r="K51" s="2" t="str">
        <f t="shared" si="4"/>
        <v>Use as scored or allow equivalent wording</v>
      </c>
      <c r="L51" s="2" t="str">
        <f t="shared" si="5"/>
        <v>Scored differentiator</v>
      </c>
    </row>
    <row r="52" spans="1:12" ht="30">
      <c r="A52" s="2">
        <v>55</v>
      </c>
      <c r="B52" s="2" t="s">
        <v>21</v>
      </c>
      <c r="C52" s="2" t="s">
        <v>181</v>
      </c>
      <c r="D52" s="4" t="s">
        <v>182</v>
      </c>
      <c r="E52" s="2" t="s">
        <v>5</v>
      </c>
      <c r="F52" s="2">
        <v>5</v>
      </c>
      <c r="G52" s="2" t="s">
        <v>35</v>
      </c>
      <c r="H52" s="2" t="s">
        <v>183</v>
      </c>
      <c r="I52" s="2" t="s">
        <v>37</v>
      </c>
      <c r="J52" s="2">
        <f t="shared" si="3"/>
        <v>1</v>
      </c>
      <c r="K52" s="2" t="str">
        <f t="shared" si="4"/>
        <v>Good differentiator</v>
      </c>
      <c r="L52" s="2" t="str">
        <f t="shared" si="5"/>
        <v>Gate + scored evidence</v>
      </c>
    </row>
    <row r="53" spans="1:12" ht="30">
      <c r="A53" s="2">
        <v>56</v>
      </c>
      <c r="B53" s="2" t="s">
        <v>21</v>
      </c>
      <c r="C53" s="2" t="s">
        <v>184</v>
      </c>
      <c r="D53" s="4" t="s">
        <v>185</v>
      </c>
      <c r="E53" s="2" t="s">
        <v>5</v>
      </c>
      <c r="F53" s="2">
        <v>5</v>
      </c>
      <c r="G53" s="2" t="s">
        <v>35</v>
      </c>
      <c r="H53" s="2" t="s">
        <v>186</v>
      </c>
      <c r="I53" s="2" t="s">
        <v>37</v>
      </c>
      <c r="J53" s="2">
        <f t="shared" si="3"/>
        <v>1</v>
      </c>
      <c r="K53" s="2" t="str">
        <f t="shared" si="4"/>
        <v>Good differentiator</v>
      </c>
      <c r="L53" s="2" t="str">
        <f t="shared" si="5"/>
        <v>Gate + scored evidence</v>
      </c>
    </row>
    <row r="54" spans="1:12" ht="15">
      <c r="A54" s="2">
        <v>57</v>
      </c>
      <c r="B54" s="2" t="s">
        <v>21</v>
      </c>
      <c r="C54" s="2" t="s">
        <v>187</v>
      </c>
      <c r="D54" s="4" t="s">
        <v>334</v>
      </c>
      <c r="E54" s="2" t="s">
        <v>4</v>
      </c>
      <c r="F54" s="2">
        <v>4</v>
      </c>
      <c r="G54" s="2" t="s">
        <v>35</v>
      </c>
      <c r="H54" s="2" t="s">
        <v>188</v>
      </c>
      <c r="I54" s="2" t="s">
        <v>37</v>
      </c>
      <c r="J54" s="2">
        <f t="shared" si="3"/>
        <v>1</v>
      </c>
      <c r="K54" s="2" t="str">
        <f t="shared" si="4"/>
        <v>Good differentiator</v>
      </c>
      <c r="L54" s="2" t="str">
        <f t="shared" si="5"/>
        <v>Gate + scored evidence</v>
      </c>
    </row>
    <row r="55" spans="1:12" ht="15">
      <c r="A55" s="2">
        <v>58</v>
      </c>
      <c r="B55" s="2" t="s">
        <v>21</v>
      </c>
      <c r="C55" s="2" t="s">
        <v>189</v>
      </c>
      <c r="D55" s="4" t="s">
        <v>190</v>
      </c>
      <c r="E55" s="2" t="s">
        <v>5</v>
      </c>
      <c r="F55" s="2">
        <v>5</v>
      </c>
      <c r="G55" s="2" t="s">
        <v>52</v>
      </c>
      <c r="H55" s="2" t="s">
        <v>191</v>
      </c>
      <c r="I55" s="2" t="s">
        <v>37</v>
      </c>
      <c r="J55" s="2">
        <f t="shared" si="3"/>
        <v>0</v>
      </c>
      <c r="K55" s="2" t="str">
        <f t="shared" si="4"/>
        <v>Good differentiator</v>
      </c>
      <c r="L55" s="2" t="str">
        <f t="shared" si="5"/>
        <v>Scored differentiator</v>
      </c>
    </row>
    <row r="56" spans="1:12" ht="30">
      <c r="A56" s="2">
        <v>59</v>
      </c>
      <c r="B56" s="2" t="s">
        <v>19</v>
      </c>
      <c r="C56" s="2" t="s">
        <v>192</v>
      </c>
      <c r="D56" s="4" t="s">
        <v>193</v>
      </c>
      <c r="E56" s="2" t="s">
        <v>5</v>
      </c>
      <c r="F56" s="2">
        <v>5</v>
      </c>
      <c r="G56" s="2" t="s">
        <v>35</v>
      </c>
      <c r="H56" s="2" t="s">
        <v>194</v>
      </c>
      <c r="I56" s="2" t="s">
        <v>37</v>
      </c>
      <c r="J56" s="2">
        <f t="shared" si="3"/>
        <v>1</v>
      </c>
      <c r="K56" s="2" t="str">
        <f t="shared" si="4"/>
        <v>Good differentiator</v>
      </c>
      <c r="L56" s="2" t="str">
        <f t="shared" si="5"/>
        <v>Gate + scored evidence</v>
      </c>
    </row>
    <row r="57" spans="1:12" ht="15">
      <c r="A57" s="2">
        <v>60</v>
      </c>
      <c r="B57" s="2" t="s">
        <v>19</v>
      </c>
      <c r="C57" s="2" t="s">
        <v>195</v>
      </c>
      <c r="D57" s="4" t="s">
        <v>335</v>
      </c>
      <c r="E57" s="2" t="s">
        <v>5</v>
      </c>
      <c r="F57" s="2">
        <v>5</v>
      </c>
      <c r="G57" s="2" t="s">
        <v>35</v>
      </c>
      <c r="H57" s="2" t="s">
        <v>196</v>
      </c>
      <c r="I57" s="2" t="s">
        <v>37</v>
      </c>
      <c r="J57" s="2">
        <f t="shared" si="3"/>
        <v>1</v>
      </c>
      <c r="K57" s="2" t="str">
        <f t="shared" si="4"/>
        <v>Good differentiator</v>
      </c>
      <c r="L57" s="2" t="str">
        <f t="shared" si="5"/>
        <v>Gate + scored evidence</v>
      </c>
    </row>
    <row r="58" spans="1:12" ht="15">
      <c r="A58" s="2">
        <v>62</v>
      </c>
      <c r="B58" s="2" t="s">
        <v>19</v>
      </c>
      <c r="C58" s="2" t="s">
        <v>197</v>
      </c>
      <c r="D58" s="4" t="s">
        <v>198</v>
      </c>
      <c r="E58" s="2" t="s">
        <v>5</v>
      </c>
      <c r="F58" s="2">
        <v>5</v>
      </c>
      <c r="G58" s="2" t="s">
        <v>35</v>
      </c>
      <c r="H58" s="2" t="s">
        <v>199</v>
      </c>
      <c r="I58" s="2" t="s">
        <v>37</v>
      </c>
      <c r="J58" s="2">
        <f t="shared" si="3"/>
        <v>1</v>
      </c>
      <c r="K58" s="2" t="str">
        <f t="shared" si="4"/>
        <v>Good differentiator</v>
      </c>
      <c r="L58" s="2" t="str">
        <f t="shared" si="5"/>
        <v>Gate + scored evidence</v>
      </c>
    </row>
    <row r="59" spans="1:12" ht="15">
      <c r="A59" s="2">
        <v>63</v>
      </c>
      <c r="B59" s="2" t="s">
        <v>19</v>
      </c>
      <c r="C59" s="2" t="s">
        <v>200</v>
      </c>
      <c r="D59" s="4" t="s">
        <v>201</v>
      </c>
      <c r="E59" s="2" t="s">
        <v>5</v>
      </c>
      <c r="F59" s="2">
        <v>4</v>
      </c>
      <c r="G59" s="2" t="s">
        <v>52</v>
      </c>
      <c r="H59" s="2" t="s">
        <v>202</v>
      </c>
      <c r="I59" s="2" t="s">
        <v>37</v>
      </c>
      <c r="J59" s="2">
        <f t="shared" si="3"/>
        <v>0</v>
      </c>
      <c r="K59" s="2" t="str">
        <f t="shared" si="4"/>
        <v>Good differentiator</v>
      </c>
      <c r="L59" s="2" t="str">
        <f t="shared" si="5"/>
        <v>Scored differentiator</v>
      </c>
    </row>
    <row r="60" spans="1:12" ht="15">
      <c r="A60" s="2">
        <v>64</v>
      </c>
      <c r="B60" s="2" t="s">
        <v>19</v>
      </c>
      <c r="C60" s="2" t="s">
        <v>203</v>
      </c>
      <c r="D60" s="4" t="s">
        <v>204</v>
      </c>
      <c r="E60" s="2" t="s">
        <v>5</v>
      </c>
      <c r="F60" s="2">
        <v>5</v>
      </c>
      <c r="G60" s="2" t="s">
        <v>52</v>
      </c>
      <c r="H60" s="2" t="s">
        <v>205</v>
      </c>
      <c r="I60" s="2" t="s">
        <v>37</v>
      </c>
      <c r="J60" s="2">
        <f t="shared" si="3"/>
        <v>0</v>
      </c>
      <c r="K60" s="2" t="str">
        <f t="shared" si="4"/>
        <v>Good differentiator</v>
      </c>
      <c r="L60" s="2" t="str">
        <f t="shared" si="5"/>
        <v>Scored differentiator</v>
      </c>
    </row>
    <row r="61" spans="1:12" ht="30">
      <c r="A61" s="2">
        <v>65</v>
      </c>
      <c r="B61" s="2" t="s">
        <v>10</v>
      </c>
      <c r="C61" s="2" t="s">
        <v>206</v>
      </c>
      <c r="D61" s="4" t="s">
        <v>207</v>
      </c>
      <c r="E61" s="2" t="s">
        <v>5</v>
      </c>
      <c r="F61" s="2">
        <v>5</v>
      </c>
      <c r="G61" s="2" t="s">
        <v>35</v>
      </c>
      <c r="H61" s="2" t="s">
        <v>208</v>
      </c>
      <c r="I61" s="2" t="s">
        <v>37</v>
      </c>
      <c r="J61" s="2">
        <f t="shared" ref="J61:J87" si="6">IF(G61="Mandatory",1,0)</f>
        <v>1</v>
      </c>
      <c r="K61" s="2" t="str">
        <f t="shared" ref="K61:K87" si="7">IF(E61="Highly Restrictive","Use as scored or allow equivalent wording",IF(E61="Common","Low differentiation","Good differentiator"))</f>
        <v>Good differentiator</v>
      </c>
      <c r="L61" s="2" t="str">
        <f t="shared" ref="L61:L87" si="8">IF(G61="Mandatory","Gate + scored evidence","Scored differentiator")</f>
        <v>Gate + scored evidence</v>
      </c>
    </row>
    <row r="62" spans="1:12" ht="15">
      <c r="A62" s="2">
        <v>66</v>
      </c>
      <c r="B62" s="2" t="s">
        <v>10</v>
      </c>
      <c r="C62" s="2" t="s">
        <v>209</v>
      </c>
      <c r="D62" s="4" t="s">
        <v>210</v>
      </c>
      <c r="E62" s="2" t="s">
        <v>5</v>
      </c>
      <c r="F62" s="2">
        <v>5</v>
      </c>
      <c r="G62" s="2" t="s">
        <v>35</v>
      </c>
      <c r="H62" s="2" t="s">
        <v>211</v>
      </c>
      <c r="I62" s="2" t="s">
        <v>37</v>
      </c>
      <c r="J62" s="2">
        <f t="shared" si="6"/>
        <v>1</v>
      </c>
      <c r="K62" s="2" t="str">
        <f t="shared" si="7"/>
        <v>Good differentiator</v>
      </c>
      <c r="L62" s="2" t="str">
        <f t="shared" si="8"/>
        <v>Gate + scored evidence</v>
      </c>
    </row>
    <row r="63" spans="1:12" ht="30">
      <c r="A63" s="2">
        <v>67</v>
      </c>
      <c r="B63" s="2" t="s">
        <v>10</v>
      </c>
      <c r="C63" s="2" t="s">
        <v>212</v>
      </c>
      <c r="D63" s="4" t="s">
        <v>213</v>
      </c>
      <c r="E63" s="2" t="s">
        <v>6</v>
      </c>
      <c r="F63" s="2">
        <v>5</v>
      </c>
      <c r="G63" s="2" t="s">
        <v>52</v>
      </c>
      <c r="H63" s="2" t="s">
        <v>214</v>
      </c>
      <c r="I63" s="2" t="s">
        <v>37</v>
      </c>
      <c r="J63" s="2">
        <f t="shared" si="6"/>
        <v>0</v>
      </c>
      <c r="K63" s="2" t="str">
        <f t="shared" si="7"/>
        <v>Use as scored or allow equivalent wording</v>
      </c>
      <c r="L63" s="2" t="str">
        <f t="shared" si="8"/>
        <v>Scored differentiator</v>
      </c>
    </row>
    <row r="64" spans="1:12" ht="15">
      <c r="A64" s="2">
        <v>68</v>
      </c>
      <c r="B64" s="2" t="s">
        <v>10</v>
      </c>
      <c r="C64" s="2" t="s">
        <v>215</v>
      </c>
      <c r="D64" s="4" t="s">
        <v>336</v>
      </c>
      <c r="E64" s="2" t="s">
        <v>5</v>
      </c>
      <c r="F64" s="2">
        <v>5</v>
      </c>
      <c r="G64" s="2" t="s">
        <v>35</v>
      </c>
      <c r="H64" s="2" t="s">
        <v>216</v>
      </c>
      <c r="I64" s="2" t="s">
        <v>37</v>
      </c>
      <c r="J64" s="2">
        <f t="shared" si="6"/>
        <v>1</v>
      </c>
      <c r="K64" s="2" t="str">
        <f t="shared" si="7"/>
        <v>Good differentiator</v>
      </c>
      <c r="L64" s="2" t="str">
        <f t="shared" si="8"/>
        <v>Gate + scored evidence</v>
      </c>
    </row>
    <row r="65" spans="1:12" ht="30">
      <c r="A65" s="2">
        <v>71</v>
      </c>
      <c r="B65" s="2" t="s">
        <v>10</v>
      </c>
      <c r="C65" s="2" t="s">
        <v>217</v>
      </c>
      <c r="D65" s="4" t="s">
        <v>218</v>
      </c>
      <c r="E65" s="2" t="s">
        <v>5</v>
      </c>
      <c r="F65" s="2">
        <v>5</v>
      </c>
      <c r="G65" s="2" t="s">
        <v>52</v>
      </c>
      <c r="H65" s="2" t="s">
        <v>219</v>
      </c>
      <c r="I65" s="2" t="s">
        <v>37</v>
      </c>
      <c r="J65" s="2">
        <f t="shared" si="6"/>
        <v>0</v>
      </c>
      <c r="K65" s="2" t="str">
        <f t="shared" si="7"/>
        <v>Good differentiator</v>
      </c>
      <c r="L65" s="2" t="str">
        <f t="shared" si="8"/>
        <v>Scored differentiator</v>
      </c>
    </row>
    <row r="66" spans="1:12" ht="30">
      <c r="A66" s="2">
        <v>72</v>
      </c>
      <c r="B66" s="2" t="s">
        <v>9</v>
      </c>
      <c r="C66" s="2" t="s">
        <v>220</v>
      </c>
      <c r="D66" s="4" t="s">
        <v>221</v>
      </c>
      <c r="E66" s="2" t="s">
        <v>5</v>
      </c>
      <c r="F66" s="2">
        <v>5</v>
      </c>
      <c r="G66" s="2" t="s">
        <v>35</v>
      </c>
      <c r="H66" s="2" t="s">
        <v>222</v>
      </c>
      <c r="I66" s="2" t="s">
        <v>37</v>
      </c>
      <c r="J66" s="2">
        <f t="shared" si="6"/>
        <v>1</v>
      </c>
      <c r="K66" s="2" t="str">
        <f t="shared" si="7"/>
        <v>Good differentiator</v>
      </c>
      <c r="L66" s="2" t="str">
        <f t="shared" si="8"/>
        <v>Gate + scored evidence</v>
      </c>
    </row>
    <row r="67" spans="1:12" ht="30">
      <c r="A67" s="2">
        <v>74</v>
      </c>
      <c r="B67" s="2" t="s">
        <v>9</v>
      </c>
      <c r="C67" s="2" t="s">
        <v>223</v>
      </c>
      <c r="D67" s="4" t="s">
        <v>337</v>
      </c>
      <c r="E67" s="2" t="s">
        <v>5</v>
      </c>
      <c r="F67" s="2">
        <v>5</v>
      </c>
      <c r="G67" s="2" t="s">
        <v>35</v>
      </c>
      <c r="H67" s="2" t="s">
        <v>224</v>
      </c>
      <c r="I67" s="2" t="s">
        <v>37</v>
      </c>
      <c r="J67" s="2">
        <f t="shared" si="6"/>
        <v>1</v>
      </c>
      <c r="K67" s="2" t="str">
        <f t="shared" si="7"/>
        <v>Good differentiator</v>
      </c>
      <c r="L67" s="2" t="str">
        <f t="shared" si="8"/>
        <v>Gate + scored evidence</v>
      </c>
    </row>
    <row r="68" spans="1:12" ht="30">
      <c r="A68" s="2">
        <v>75</v>
      </c>
      <c r="B68" s="2" t="s">
        <v>9</v>
      </c>
      <c r="C68" s="2" t="s">
        <v>225</v>
      </c>
      <c r="D68" s="4" t="s">
        <v>226</v>
      </c>
      <c r="E68" s="2" t="s">
        <v>5</v>
      </c>
      <c r="F68" s="2">
        <v>5</v>
      </c>
      <c r="G68" s="2" t="s">
        <v>35</v>
      </c>
      <c r="H68" s="2" t="s">
        <v>227</v>
      </c>
      <c r="I68" s="2" t="s">
        <v>37</v>
      </c>
      <c r="J68" s="2">
        <f t="shared" si="6"/>
        <v>1</v>
      </c>
      <c r="K68" s="2" t="str">
        <f t="shared" si="7"/>
        <v>Good differentiator</v>
      </c>
      <c r="L68" s="2" t="str">
        <f t="shared" si="8"/>
        <v>Gate + scored evidence</v>
      </c>
    </row>
    <row r="69" spans="1:12" ht="30">
      <c r="A69" s="2">
        <v>76</v>
      </c>
      <c r="B69" s="2" t="s">
        <v>9</v>
      </c>
      <c r="C69" s="2" t="s">
        <v>228</v>
      </c>
      <c r="D69" s="4" t="s">
        <v>229</v>
      </c>
      <c r="E69" s="2" t="s">
        <v>5</v>
      </c>
      <c r="F69" s="2">
        <v>5</v>
      </c>
      <c r="G69" s="2" t="s">
        <v>35</v>
      </c>
      <c r="H69" s="2" t="s">
        <v>230</v>
      </c>
      <c r="I69" s="2" t="s">
        <v>37</v>
      </c>
      <c r="J69" s="2">
        <f t="shared" si="6"/>
        <v>1</v>
      </c>
      <c r="K69" s="2" t="str">
        <f t="shared" si="7"/>
        <v>Good differentiator</v>
      </c>
      <c r="L69" s="2" t="str">
        <f t="shared" si="8"/>
        <v>Gate + scored evidence</v>
      </c>
    </row>
    <row r="70" spans="1:12" ht="30">
      <c r="A70" s="2">
        <v>77</v>
      </c>
      <c r="B70" s="2" t="s">
        <v>9</v>
      </c>
      <c r="C70" s="2" t="s">
        <v>231</v>
      </c>
      <c r="D70" s="4" t="s">
        <v>232</v>
      </c>
      <c r="E70" s="2" t="s">
        <v>5</v>
      </c>
      <c r="F70" s="2">
        <v>5</v>
      </c>
      <c r="G70" s="2" t="s">
        <v>35</v>
      </c>
      <c r="H70" s="2" t="s">
        <v>233</v>
      </c>
      <c r="I70" s="2" t="s">
        <v>37</v>
      </c>
      <c r="J70" s="2">
        <f t="shared" si="6"/>
        <v>1</v>
      </c>
      <c r="K70" s="2" t="str">
        <f t="shared" si="7"/>
        <v>Good differentiator</v>
      </c>
      <c r="L70" s="2" t="str">
        <f t="shared" si="8"/>
        <v>Gate + scored evidence</v>
      </c>
    </row>
    <row r="71" spans="1:12" ht="30">
      <c r="A71" s="2">
        <v>78</v>
      </c>
      <c r="B71" s="2" t="s">
        <v>9</v>
      </c>
      <c r="C71" s="2" t="s">
        <v>234</v>
      </c>
      <c r="D71" s="4" t="s">
        <v>235</v>
      </c>
      <c r="E71" s="2" t="s">
        <v>5</v>
      </c>
      <c r="F71" s="2">
        <v>5</v>
      </c>
      <c r="G71" s="2" t="s">
        <v>52</v>
      </c>
      <c r="H71" s="2" t="s">
        <v>236</v>
      </c>
      <c r="I71" s="2" t="s">
        <v>37</v>
      </c>
      <c r="J71" s="2">
        <f t="shared" si="6"/>
        <v>0</v>
      </c>
      <c r="K71" s="2" t="str">
        <f t="shared" si="7"/>
        <v>Good differentiator</v>
      </c>
      <c r="L71" s="2" t="str">
        <f t="shared" si="8"/>
        <v>Scored differentiator</v>
      </c>
    </row>
    <row r="72" spans="1:12" ht="15">
      <c r="A72" s="2">
        <v>80</v>
      </c>
      <c r="B72" s="2" t="s">
        <v>9</v>
      </c>
      <c r="C72" s="2" t="s">
        <v>237</v>
      </c>
      <c r="D72" s="4" t="s">
        <v>238</v>
      </c>
      <c r="E72" s="2" t="s">
        <v>5</v>
      </c>
      <c r="F72" s="2">
        <v>5</v>
      </c>
      <c r="G72" s="2" t="s">
        <v>52</v>
      </c>
      <c r="H72" s="2" t="s">
        <v>239</v>
      </c>
      <c r="I72" s="2" t="s">
        <v>37</v>
      </c>
      <c r="J72" s="2">
        <f t="shared" si="6"/>
        <v>0</v>
      </c>
      <c r="K72" s="2" t="str">
        <f t="shared" si="7"/>
        <v>Good differentiator</v>
      </c>
      <c r="L72" s="2" t="str">
        <f t="shared" si="8"/>
        <v>Scored differentiator</v>
      </c>
    </row>
    <row r="73" spans="1:12" ht="30">
      <c r="A73" s="2">
        <v>81</v>
      </c>
      <c r="B73" s="2" t="s">
        <v>20</v>
      </c>
      <c r="C73" s="2" t="s">
        <v>240</v>
      </c>
      <c r="D73" s="4" t="s">
        <v>241</v>
      </c>
      <c r="E73" s="2" t="s">
        <v>5</v>
      </c>
      <c r="F73" s="2">
        <v>5</v>
      </c>
      <c r="G73" s="2" t="s">
        <v>35</v>
      </c>
      <c r="H73" s="2" t="s">
        <v>242</v>
      </c>
      <c r="I73" s="2" t="s">
        <v>37</v>
      </c>
      <c r="J73" s="2">
        <f t="shared" si="6"/>
        <v>1</v>
      </c>
      <c r="K73" s="2" t="str">
        <f t="shared" si="7"/>
        <v>Good differentiator</v>
      </c>
      <c r="L73" s="2" t="str">
        <f t="shared" si="8"/>
        <v>Gate + scored evidence</v>
      </c>
    </row>
    <row r="74" spans="1:12" ht="15">
      <c r="A74" s="2">
        <v>82</v>
      </c>
      <c r="B74" s="2" t="s">
        <v>20</v>
      </c>
      <c r="C74" s="2" t="s">
        <v>243</v>
      </c>
      <c r="D74" s="4" t="s">
        <v>338</v>
      </c>
      <c r="E74" s="2" t="s">
        <v>5</v>
      </c>
      <c r="F74" s="2">
        <v>5</v>
      </c>
      <c r="G74" s="2" t="s">
        <v>35</v>
      </c>
      <c r="H74" s="2" t="s">
        <v>244</v>
      </c>
      <c r="I74" s="2" t="s">
        <v>37</v>
      </c>
      <c r="J74" s="2">
        <f t="shared" si="6"/>
        <v>1</v>
      </c>
      <c r="K74" s="2" t="str">
        <f t="shared" si="7"/>
        <v>Good differentiator</v>
      </c>
      <c r="L74" s="2" t="str">
        <f t="shared" si="8"/>
        <v>Gate + scored evidence</v>
      </c>
    </row>
    <row r="75" spans="1:12" ht="30">
      <c r="A75" s="2">
        <v>83</v>
      </c>
      <c r="B75" s="2" t="s">
        <v>20</v>
      </c>
      <c r="C75" s="2" t="s">
        <v>245</v>
      </c>
      <c r="D75" s="4" t="s">
        <v>246</v>
      </c>
      <c r="E75" s="2" t="s">
        <v>5</v>
      </c>
      <c r="F75" s="2">
        <v>5</v>
      </c>
      <c r="G75" s="2" t="s">
        <v>35</v>
      </c>
      <c r="H75" s="2" t="s">
        <v>247</v>
      </c>
      <c r="I75" s="2" t="s">
        <v>37</v>
      </c>
      <c r="J75" s="2">
        <f t="shared" si="6"/>
        <v>1</v>
      </c>
      <c r="K75" s="2" t="str">
        <f t="shared" si="7"/>
        <v>Good differentiator</v>
      </c>
      <c r="L75" s="2" t="str">
        <f t="shared" si="8"/>
        <v>Gate + scored evidence</v>
      </c>
    </row>
    <row r="76" spans="1:12" ht="30">
      <c r="A76" s="2">
        <v>84</v>
      </c>
      <c r="B76" s="2" t="s">
        <v>20</v>
      </c>
      <c r="C76" s="2" t="s">
        <v>248</v>
      </c>
      <c r="D76" s="4" t="s">
        <v>249</v>
      </c>
      <c r="E76" s="2" t="s">
        <v>5</v>
      </c>
      <c r="F76" s="2">
        <v>5</v>
      </c>
      <c r="G76" s="2" t="s">
        <v>35</v>
      </c>
      <c r="H76" s="2" t="s">
        <v>250</v>
      </c>
      <c r="I76" s="2" t="s">
        <v>37</v>
      </c>
      <c r="J76" s="2">
        <f t="shared" si="6"/>
        <v>1</v>
      </c>
      <c r="K76" s="2" t="str">
        <f t="shared" si="7"/>
        <v>Good differentiator</v>
      </c>
      <c r="L76" s="2" t="str">
        <f t="shared" si="8"/>
        <v>Gate + scored evidence</v>
      </c>
    </row>
    <row r="77" spans="1:12" ht="30">
      <c r="A77" s="2">
        <v>85</v>
      </c>
      <c r="B77" s="2" t="s">
        <v>20</v>
      </c>
      <c r="C77" s="2" t="s">
        <v>251</v>
      </c>
      <c r="D77" s="4" t="s">
        <v>252</v>
      </c>
      <c r="E77" s="2" t="s">
        <v>4</v>
      </c>
      <c r="F77" s="2">
        <v>4</v>
      </c>
      <c r="G77" s="2" t="s">
        <v>35</v>
      </c>
      <c r="H77" s="2" t="s">
        <v>253</v>
      </c>
      <c r="I77" s="2" t="s">
        <v>37</v>
      </c>
      <c r="J77" s="2">
        <f t="shared" si="6"/>
        <v>1</v>
      </c>
      <c r="K77" s="2" t="str">
        <f t="shared" si="7"/>
        <v>Good differentiator</v>
      </c>
      <c r="L77" s="2" t="str">
        <f t="shared" si="8"/>
        <v>Gate + scored evidence</v>
      </c>
    </row>
    <row r="78" spans="1:12" ht="30">
      <c r="A78" s="2">
        <v>86</v>
      </c>
      <c r="B78" s="2" t="s">
        <v>20</v>
      </c>
      <c r="C78" s="2" t="s">
        <v>254</v>
      </c>
      <c r="D78" s="4" t="s">
        <v>255</v>
      </c>
      <c r="E78" s="2" t="s">
        <v>5</v>
      </c>
      <c r="F78" s="2">
        <v>5</v>
      </c>
      <c r="G78" s="2" t="s">
        <v>35</v>
      </c>
      <c r="H78" s="2" t="s">
        <v>256</v>
      </c>
      <c r="I78" s="2" t="s">
        <v>37</v>
      </c>
      <c r="J78" s="2">
        <f t="shared" si="6"/>
        <v>1</v>
      </c>
      <c r="K78" s="2" t="str">
        <f t="shared" si="7"/>
        <v>Good differentiator</v>
      </c>
      <c r="L78" s="2" t="str">
        <f t="shared" si="8"/>
        <v>Gate + scored evidence</v>
      </c>
    </row>
    <row r="79" spans="1:12" ht="15">
      <c r="A79" s="2">
        <v>88</v>
      </c>
      <c r="B79" s="2" t="s">
        <v>22</v>
      </c>
      <c r="C79" s="2" t="s">
        <v>257</v>
      </c>
      <c r="D79" s="4" t="s">
        <v>258</v>
      </c>
      <c r="E79" s="2" t="s">
        <v>1</v>
      </c>
      <c r="F79" s="2">
        <v>1</v>
      </c>
      <c r="G79" s="2" t="s">
        <v>35</v>
      </c>
      <c r="H79" s="2" t="s">
        <v>259</v>
      </c>
      <c r="I79" s="2" t="s">
        <v>37</v>
      </c>
      <c r="J79" s="2">
        <f t="shared" si="6"/>
        <v>1</v>
      </c>
      <c r="K79" s="2" t="str">
        <f t="shared" si="7"/>
        <v>Low differentiation</v>
      </c>
      <c r="L79" s="2" t="str">
        <f t="shared" si="8"/>
        <v>Gate + scored evidence</v>
      </c>
    </row>
    <row r="80" spans="1:12" ht="15">
      <c r="A80" s="2">
        <v>89</v>
      </c>
      <c r="B80" s="2" t="s">
        <v>22</v>
      </c>
      <c r="C80" s="2" t="s">
        <v>260</v>
      </c>
      <c r="D80" s="4" t="s">
        <v>261</v>
      </c>
      <c r="E80" s="2" t="s">
        <v>2</v>
      </c>
      <c r="F80" s="2">
        <v>2</v>
      </c>
      <c r="G80" s="2" t="s">
        <v>35</v>
      </c>
      <c r="H80" s="2" t="s">
        <v>262</v>
      </c>
      <c r="I80" s="2" t="s">
        <v>37</v>
      </c>
      <c r="J80" s="2">
        <f t="shared" si="6"/>
        <v>1</v>
      </c>
      <c r="K80" s="2" t="str">
        <f t="shared" si="7"/>
        <v>Good differentiator</v>
      </c>
      <c r="L80" s="2" t="str">
        <f t="shared" si="8"/>
        <v>Gate + scored evidence</v>
      </c>
    </row>
    <row r="81" spans="1:12" ht="15">
      <c r="A81" s="2">
        <v>90</v>
      </c>
      <c r="B81" s="2" t="s">
        <v>22</v>
      </c>
      <c r="C81" s="2" t="s">
        <v>263</v>
      </c>
      <c r="D81" s="4" t="s">
        <v>264</v>
      </c>
      <c r="E81" s="2" t="s">
        <v>2</v>
      </c>
      <c r="F81" s="2">
        <v>2</v>
      </c>
      <c r="G81" s="2" t="s">
        <v>35</v>
      </c>
      <c r="H81" s="2" t="s">
        <v>265</v>
      </c>
      <c r="I81" s="2" t="s">
        <v>37</v>
      </c>
      <c r="J81" s="2">
        <f t="shared" si="6"/>
        <v>1</v>
      </c>
      <c r="K81" s="2" t="str">
        <f t="shared" si="7"/>
        <v>Good differentiator</v>
      </c>
      <c r="L81" s="2" t="str">
        <f t="shared" si="8"/>
        <v>Gate + scored evidence</v>
      </c>
    </row>
    <row r="82" spans="1:12" ht="30">
      <c r="A82" s="2">
        <v>91</v>
      </c>
      <c r="B82" s="2" t="s">
        <v>22</v>
      </c>
      <c r="C82" s="2" t="s">
        <v>266</v>
      </c>
      <c r="D82" s="4" t="s">
        <v>267</v>
      </c>
      <c r="E82" s="2" t="s">
        <v>5</v>
      </c>
      <c r="F82" s="2">
        <v>5</v>
      </c>
      <c r="G82" s="2" t="s">
        <v>35</v>
      </c>
      <c r="H82" s="2" t="s">
        <v>268</v>
      </c>
      <c r="I82" s="2" t="s">
        <v>37</v>
      </c>
      <c r="J82" s="2">
        <f t="shared" si="6"/>
        <v>1</v>
      </c>
      <c r="K82" s="2" t="str">
        <f t="shared" si="7"/>
        <v>Good differentiator</v>
      </c>
      <c r="L82" s="2" t="str">
        <f t="shared" si="8"/>
        <v>Gate + scored evidence</v>
      </c>
    </row>
    <row r="83" spans="1:12" ht="30">
      <c r="A83" s="2">
        <v>92</v>
      </c>
      <c r="B83" s="2" t="s">
        <v>22</v>
      </c>
      <c r="C83" s="2" t="s">
        <v>269</v>
      </c>
      <c r="D83" s="4" t="s">
        <v>270</v>
      </c>
      <c r="E83" s="2" t="s">
        <v>3</v>
      </c>
      <c r="F83" s="2">
        <v>3</v>
      </c>
      <c r="G83" s="2" t="s">
        <v>35</v>
      </c>
      <c r="H83" s="2" t="s">
        <v>271</v>
      </c>
      <c r="I83" s="2" t="s">
        <v>37</v>
      </c>
      <c r="J83" s="2">
        <f t="shared" si="6"/>
        <v>1</v>
      </c>
      <c r="K83" s="2" t="str">
        <f t="shared" si="7"/>
        <v>Good differentiator</v>
      </c>
      <c r="L83" s="2" t="str">
        <f t="shared" si="8"/>
        <v>Gate + scored evidence</v>
      </c>
    </row>
    <row r="84" spans="1:12" ht="30">
      <c r="A84" s="2">
        <v>93</v>
      </c>
      <c r="B84" s="2" t="s">
        <v>22</v>
      </c>
      <c r="C84" s="2" t="s">
        <v>272</v>
      </c>
      <c r="D84" s="4" t="s">
        <v>273</v>
      </c>
      <c r="E84" s="2" t="s">
        <v>4</v>
      </c>
      <c r="F84" s="2">
        <v>4</v>
      </c>
      <c r="G84" s="2" t="s">
        <v>35</v>
      </c>
      <c r="H84" s="2" t="s">
        <v>274</v>
      </c>
      <c r="I84" s="2" t="s">
        <v>37</v>
      </c>
      <c r="J84" s="2">
        <f t="shared" si="6"/>
        <v>1</v>
      </c>
      <c r="K84" s="2" t="str">
        <f t="shared" si="7"/>
        <v>Good differentiator</v>
      </c>
      <c r="L84" s="2" t="str">
        <f t="shared" si="8"/>
        <v>Gate + scored evidence</v>
      </c>
    </row>
    <row r="85" spans="1:12" ht="30">
      <c r="A85" s="2">
        <v>94</v>
      </c>
      <c r="B85" s="2" t="s">
        <v>16</v>
      </c>
      <c r="C85" s="2" t="s">
        <v>275</v>
      </c>
      <c r="D85" s="4" t="s">
        <v>276</v>
      </c>
      <c r="E85" s="2" t="s">
        <v>4</v>
      </c>
      <c r="F85" s="2">
        <v>4</v>
      </c>
      <c r="G85" s="2" t="s">
        <v>35</v>
      </c>
      <c r="H85" s="2" t="s">
        <v>277</v>
      </c>
      <c r="I85" s="2" t="s">
        <v>37</v>
      </c>
      <c r="J85" s="2">
        <f t="shared" si="6"/>
        <v>1</v>
      </c>
      <c r="K85" s="2" t="str">
        <f t="shared" si="7"/>
        <v>Good differentiator</v>
      </c>
      <c r="L85" s="2" t="str">
        <f t="shared" si="8"/>
        <v>Gate + scored evidence</v>
      </c>
    </row>
    <row r="86" spans="1:12" ht="30">
      <c r="A86" s="2">
        <v>95</v>
      </c>
      <c r="B86" s="2" t="s">
        <v>16</v>
      </c>
      <c r="C86" s="2" t="s">
        <v>278</v>
      </c>
      <c r="D86" s="4" t="s">
        <v>279</v>
      </c>
      <c r="E86" s="2" t="s">
        <v>4</v>
      </c>
      <c r="F86" s="2">
        <v>4</v>
      </c>
      <c r="G86" s="2" t="s">
        <v>35</v>
      </c>
      <c r="H86" s="2" t="s">
        <v>280</v>
      </c>
      <c r="I86" s="2" t="s">
        <v>37</v>
      </c>
      <c r="J86" s="2">
        <f t="shared" si="6"/>
        <v>1</v>
      </c>
      <c r="K86" s="2" t="str">
        <f t="shared" si="7"/>
        <v>Good differentiator</v>
      </c>
      <c r="L86" s="2" t="str">
        <f t="shared" si="8"/>
        <v>Gate + scored evidence</v>
      </c>
    </row>
    <row r="87" spans="1:12" ht="30">
      <c r="A87" s="2">
        <v>96</v>
      </c>
      <c r="B87" s="2" t="s">
        <v>16</v>
      </c>
      <c r="C87" s="2" t="s">
        <v>281</v>
      </c>
      <c r="D87" s="4" t="s">
        <v>282</v>
      </c>
      <c r="E87" s="2" t="s">
        <v>4</v>
      </c>
      <c r="F87" s="2">
        <v>4</v>
      </c>
      <c r="G87" s="2" t="s">
        <v>35</v>
      </c>
      <c r="H87" s="2" t="s">
        <v>283</v>
      </c>
      <c r="I87" s="2" t="s">
        <v>37</v>
      </c>
      <c r="J87" s="2">
        <f t="shared" si="6"/>
        <v>1</v>
      </c>
      <c r="K87" s="2" t="str">
        <f t="shared" si="7"/>
        <v>Good differentiator</v>
      </c>
      <c r="L87" s="2" t="str">
        <f t="shared" si="8"/>
        <v>Gate + scored evidence</v>
      </c>
    </row>
    <row r="88" spans="1:12" ht="15">
      <c r="A88" s="2">
        <v>97</v>
      </c>
      <c r="B88" s="2" t="s">
        <v>16</v>
      </c>
      <c r="C88" s="2" t="s">
        <v>284</v>
      </c>
      <c r="D88" s="4" t="s">
        <v>285</v>
      </c>
      <c r="E88" s="2" t="s">
        <v>3</v>
      </c>
      <c r="F88" s="2">
        <v>3</v>
      </c>
      <c r="G88" s="2" t="s">
        <v>35</v>
      </c>
      <c r="H88" s="2" t="s">
        <v>286</v>
      </c>
      <c r="I88" s="2" t="s">
        <v>37</v>
      </c>
      <c r="J88" s="2">
        <f t="shared" ref="J88:J102" si="9">IF(G88="Mandatory",1,0)</f>
        <v>1</v>
      </c>
      <c r="K88" s="2" t="str">
        <f t="shared" ref="K88:K102" si="10">IF(E88="Highly Restrictive","Use as scored or allow equivalent wording",IF(E88="Common","Low differentiation","Good differentiator"))</f>
        <v>Good differentiator</v>
      </c>
      <c r="L88" s="2" t="str">
        <f t="shared" ref="L88:L102" si="11">IF(G88="Mandatory","Gate + scored evidence","Scored differentiator")</f>
        <v>Gate + scored evidence</v>
      </c>
    </row>
    <row r="89" spans="1:12" ht="30">
      <c r="A89" s="2">
        <v>98</v>
      </c>
      <c r="B89" s="2" t="s">
        <v>16</v>
      </c>
      <c r="C89" s="2" t="s">
        <v>287</v>
      </c>
      <c r="D89" s="4" t="s">
        <v>288</v>
      </c>
      <c r="E89" s="2" t="s">
        <v>2</v>
      </c>
      <c r="F89" s="2">
        <v>2</v>
      </c>
      <c r="G89" s="2" t="s">
        <v>52</v>
      </c>
      <c r="H89" s="2" t="s">
        <v>289</v>
      </c>
      <c r="I89" s="2" t="s">
        <v>37</v>
      </c>
      <c r="J89" s="2">
        <f t="shared" si="9"/>
        <v>0</v>
      </c>
      <c r="K89" s="2" t="str">
        <f t="shared" si="10"/>
        <v>Good differentiator</v>
      </c>
      <c r="L89" s="2" t="str">
        <f t="shared" si="11"/>
        <v>Scored differentiator</v>
      </c>
    </row>
    <row r="90" spans="1:12" ht="15">
      <c r="A90" s="2">
        <v>99</v>
      </c>
      <c r="B90" s="2" t="s">
        <v>14</v>
      </c>
      <c r="C90" s="2" t="s">
        <v>290</v>
      </c>
      <c r="D90" s="4" t="s">
        <v>291</v>
      </c>
      <c r="E90" s="2" t="s">
        <v>2</v>
      </c>
      <c r="F90" s="2">
        <v>2</v>
      </c>
      <c r="G90" s="2" t="s">
        <v>35</v>
      </c>
      <c r="H90" s="2" t="s">
        <v>292</v>
      </c>
      <c r="I90" s="2" t="s">
        <v>37</v>
      </c>
      <c r="J90" s="2">
        <f t="shared" si="9"/>
        <v>1</v>
      </c>
      <c r="K90" s="2" t="str">
        <f t="shared" si="10"/>
        <v>Good differentiator</v>
      </c>
      <c r="L90" s="2" t="str">
        <f t="shared" si="11"/>
        <v>Gate + scored evidence</v>
      </c>
    </row>
    <row r="91" spans="1:12" ht="15">
      <c r="A91" s="2">
        <v>100</v>
      </c>
      <c r="B91" s="2" t="s">
        <v>14</v>
      </c>
      <c r="C91" s="2" t="s">
        <v>293</v>
      </c>
      <c r="D91" s="4" t="s">
        <v>294</v>
      </c>
      <c r="E91" s="2" t="s">
        <v>1</v>
      </c>
      <c r="F91" s="2">
        <v>1</v>
      </c>
      <c r="G91" s="2" t="s">
        <v>35</v>
      </c>
      <c r="H91" s="2" t="s">
        <v>295</v>
      </c>
      <c r="I91" s="2" t="s">
        <v>37</v>
      </c>
      <c r="J91" s="2">
        <f t="shared" si="9"/>
        <v>1</v>
      </c>
      <c r="K91" s="2" t="str">
        <f t="shared" si="10"/>
        <v>Low differentiation</v>
      </c>
      <c r="L91" s="2" t="str">
        <f t="shared" si="11"/>
        <v>Gate + scored evidence</v>
      </c>
    </row>
    <row r="92" spans="1:12" ht="15">
      <c r="A92" s="2">
        <v>103</v>
      </c>
      <c r="B92" s="2" t="s">
        <v>14</v>
      </c>
      <c r="C92" s="2" t="s">
        <v>296</v>
      </c>
      <c r="D92" s="4" t="s">
        <v>297</v>
      </c>
      <c r="E92" s="2" t="s">
        <v>5</v>
      </c>
      <c r="F92" s="2">
        <v>5</v>
      </c>
      <c r="G92" s="2" t="s">
        <v>52</v>
      </c>
      <c r="H92" s="2" t="s">
        <v>298</v>
      </c>
      <c r="I92" s="2" t="s">
        <v>37</v>
      </c>
      <c r="J92" s="2">
        <f t="shared" si="9"/>
        <v>0</v>
      </c>
      <c r="K92" s="2" t="str">
        <f t="shared" si="10"/>
        <v>Good differentiator</v>
      </c>
      <c r="L92" s="2" t="str">
        <f t="shared" si="11"/>
        <v>Scored differentiator</v>
      </c>
    </row>
    <row r="93" spans="1:12" ht="15">
      <c r="A93" s="2">
        <v>104</v>
      </c>
      <c r="B93" s="2" t="s">
        <v>14</v>
      </c>
      <c r="C93" s="2" t="s">
        <v>299</v>
      </c>
      <c r="D93" s="4" t="s">
        <v>300</v>
      </c>
      <c r="E93" s="2" t="s">
        <v>4</v>
      </c>
      <c r="F93" s="2">
        <v>4</v>
      </c>
      <c r="G93" s="2" t="s">
        <v>35</v>
      </c>
      <c r="H93" s="2" t="s">
        <v>301</v>
      </c>
      <c r="I93" s="2" t="s">
        <v>37</v>
      </c>
      <c r="J93" s="2">
        <f t="shared" si="9"/>
        <v>1</v>
      </c>
      <c r="K93" s="2" t="str">
        <f t="shared" si="10"/>
        <v>Good differentiator</v>
      </c>
      <c r="L93" s="2" t="str">
        <f t="shared" si="11"/>
        <v>Gate + scored evidence</v>
      </c>
    </row>
    <row r="94" spans="1:12" ht="30">
      <c r="A94" s="2">
        <v>105</v>
      </c>
      <c r="B94" s="2" t="s">
        <v>15</v>
      </c>
      <c r="C94" s="2" t="s">
        <v>302</v>
      </c>
      <c r="D94" s="4" t="s">
        <v>303</v>
      </c>
      <c r="E94" s="2" t="s">
        <v>5</v>
      </c>
      <c r="F94" s="2">
        <v>5</v>
      </c>
      <c r="G94" s="2" t="s">
        <v>35</v>
      </c>
      <c r="H94" s="2" t="s">
        <v>304</v>
      </c>
      <c r="I94" s="2" t="s">
        <v>37</v>
      </c>
      <c r="J94" s="2">
        <f t="shared" si="9"/>
        <v>1</v>
      </c>
      <c r="K94" s="2" t="str">
        <f t="shared" si="10"/>
        <v>Good differentiator</v>
      </c>
      <c r="L94" s="2" t="str">
        <f t="shared" si="11"/>
        <v>Gate + scored evidence</v>
      </c>
    </row>
    <row r="95" spans="1:12" ht="15">
      <c r="A95" s="2">
        <v>106</v>
      </c>
      <c r="B95" s="2" t="s">
        <v>15</v>
      </c>
      <c r="C95" s="2" t="s">
        <v>305</v>
      </c>
      <c r="D95" s="4" t="s">
        <v>306</v>
      </c>
      <c r="E95" s="2" t="s">
        <v>5</v>
      </c>
      <c r="F95" s="2">
        <v>5</v>
      </c>
      <c r="G95" s="2" t="s">
        <v>35</v>
      </c>
      <c r="H95" s="2" t="s">
        <v>307</v>
      </c>
      <c r="I95" s="2" t="s">
        <v>37</v>
      </c>
      <c r="J95" s="2">
        <f t="shared" si="9"/>
        <v>1</v>
      </c>
      <c r="K95" s="2" t="str">
        <f t="shared" si="10"/>
        <v>Good differentiator</v>
      </c>
      <c r="L95" s="2" t="str">
        <f t="shared" si="11"/>
        <v>Gate + scored evidence</v>
      </c>
    </row>
    <row r="96" spans="1:12" ht="15">
      <c r="A96" s="2">
        <v>107</v>
      </c>
      <c r="B96" s="2" t="s">
        <v>15</v>
      </c>
      <c r="C96" s="2" t="s">
        <v>308</v>
      </c>
      <c r="D96" s="4" t="s">
        <v>339</v>
      </c>
      <c r="E96" s="2" t="s">
        <v>5</v>
      </c>
      <c r="F96" s="2">
        <v>5</v>
      </c>
      <c r="G96" s="2" t="s">
        <v>35</v>
      </c>
      <c r="H96" s="2" t="s">
        <v>309</v>
      </c>
      <c r="I96" s="2" t="s">
        <v>37</v>
      </c>
      <c r="J96" s="2">
        <f t="shared" si="9"/>
        <v>1</v>
      </c>
      <c r="K96" s="2" t="str">
        <f t="shared" si="10"/>
        <v>Good differentiator</v>
      </c>
      <c r="L96" s="2" t="str">
        <f t="shared" si="11"/>
        <v>Gate + scored evidence</v>
      </c>
    </row>
    <row r="97" spans="1:12" ht="15">
      <c r="A97" s="2">
        <v>108</v>
      </c>
      <c r="B97" s="2" t="s">
        <v>15</v>
      </c>
      <c r="C97" s="2" t="s">
        <v>310</v>
      </c>
      <c r="D97" s="4" t="s">
        <v>311</v>
      </c>
      <c r="E97" s="2" t="s">
        <v>5</v>
      </c>
      <c r="F97" s="2">
        <v>5</v>
      </c>
      <c r="G97" s="2" t="s">
        <v>35</v>
      </c>
      <c r="H97" s="2" t="s">
        <v>312</v>
      </c>
      <c r="I97" s="2" t="s">
        <v>37</v>
      </c>
      <c r="J97" s="2">
        <f t="shared" si="9"/>
        <v>1</v>
      </c>
      <c r="K97" s="2" t="str">
        <f t="shared" si="10"/>
        <v>Good differentiator</v>
      </c>
      <c r="L97" s="2" t="str">
        <f t="shared" si="11"/>
        <v>Gate + scored evidence</v>
      </c>
    </row>
    <row r="98" spans="1:12" ht="15">
      <c r="A98" s="2">
        <v>109</v>
      </c>
      <c r="B98" s="2" t="s">
        <v>15</v>
      </c>
      <c r="C98" s="2" t="s">
        <v>313</v>
      </c>
      <c r="D98" s="4" t="s">
        <v>314</v>
      </c>
      <c r="E98" s="2" t="s">
        <v>5</v>
      </c>
      <c r="F98" s="2">
        <v>5</v>
      </c>
      <c r="G98" s="2" t="s">
        <v>35</v>
      </c>
      <c r="H98" s="2" t="s">
        <v>315</v>
      </c>
      <c r="I98" s="2" t="s">
        <v>37</v>
      </c>
      <c r="J98" s="2">
        <f t="shared" si="9"/>
        <v>1</v>
      </c>
      <c r="K98" s="2" t="str">
        <f t="shared" si="10"/>
        <v>Good differentiator</v>
      </c>
      <c r="L98" s="2" t="str">
        <f t="shared" si="11"/>
        <v>Gate + scored evidence</v>
      </c>
    </row>
    <row r="99" spans="1:12" ht="15">
      <c r="A99" s="2">
        <v>110</v>
      </c>
      <c r="B99" s="2" t="s">
        <v>15</v>
      </c>
      <c r="C99" s="2" t="s">
        <v>316</v>
      </c>
      <c r="D99" s="4" t="s">
        <v>317</v>
      </c>
      <c r="E99" s="2" t="s">
        <v>5</v>
      </c>
      <c r="F99" s="2">
        <v>5</v>
      </c>
      <c r="G99" s="2" t="s">
        <v>35</v>
      </c>
      <c r="H99" s="2" t="s">
        <v>318</v>
      </c>
      <c r="I99" s="2" t="s">
        <v>37</v>
      </c>
      <c r="J99" s="2">
        <f t="shared" si="9"/>
        <v>1</v>
      </c>
      <c r="K99" s="2" t="str">
        <f t="shared" si="10"/>
        <v>Good differentiator</v>
      </c>
      <c r="L99" s="2" t="str">
        <f t="shared" si="11"/>
        <v>Gate + scored evidence</v>
      </c>
    </row>
    <row r="100" spans="1:12" ht="30">
      <c r="A100" s="2">
        <v>111</v>
      </c>
      <c r="B100" s="2" t="s">
        <v>15</v>
      </c>
      <c r="C100" s="2" t="s">
        <v>319</v>
      </c>
      <c r="D100" s="4" t="s">
        <v>320</v>
      </c>
      <c r="E100" s="2" t="s">
        <v>5</v>
      </c>
      <c r="F100" s="2">
        <v>5</v>
      </c>
      <c r="G100" s="2" t="s">
        <v>35</v>
      </c>
      <c r="H100" s="2" t="s">
        <v>321</v>
      </c>
      <c r="I100" s="2" t="s">
        <v>37</v>
      </c>
      <c r="J100" s="2">
        <f t="shared" si="9"/>
        <v>1</v>
      </c>
      <c r="K100" s="2" t="str">
        <f t="shared" si="10"/>
        <v>Good differentiator</v>
      </c>
      <c r="L100" s="2" t="str">
        <f t="shared" si="11"/>
        <v>Gate + scored evidence</v>
      </c>
    </row>
    <row r="101" spans="1:12" ht="30">
      <c r="A101" s="2">
        <v>112</v>
      </c>
      <c r="B101" s="2" t="s">
        <v>15</v>
      </c>
      <c r="C101" s="2" t="s">
        <v>322</v>
      </c>
      <c r="D101" s="4" t="s">
        <v>323</v>
      </c>
      <c r="E101" s="2" t="s">
        <v>5</v>
      </c>
      <c r="F101" s="2">
        <v>5</v>
      </c>
      <c r="G101" s="2" t="s">
        <v>35</v>
      </c>
      <c r="H101" s="2" t="s">
        <v>324</v>
      </c>
      <c r="I101" s="2" t="s">
        <v>37</v>
      </c>
      <c r="J101" s="2">
        <f t="shared" si="9"/>
        <v>1</v>
      </c>
      <c r="K101" s="2" t="str">
        <f t="shared" si="10"/>
        <v>Good differentiator</v>
      </c>
      <c r="L101" s="2" t="str">
        <f t="shared" si="11"/>
        <v>Gate + scored evidence</v>
      </c>
    </row>
    <row r="102" spans="1:12" ht="30">
      <c r="A102" s="2">
        <v>113</v>
      </c>
      <c r="B102" s="2" t="s">
        <v>15</v>
      </c>
      <c r="C102" s="2" t="s">
        <v>325</v>
      </c>
      <c r="D102" s="4" t="s">
        <v>326</v>
      </c>
      <c r="E102" s="2" t="s">
        <v>5</v>
      </c>
      <c r="F102" s="2">
        <v>5</v>
      </c>
      <c r="G102" s="2" t="s">
        <v>35</v>
      </c>
      <c r="H102" s="2" t="s">
        <v>327</v>
      </c>
      <c r="I102" s="2" t="s">
        <v>37</v>
      </c>
      <c r="J102" s="2">
        <f t="shared" si="9"/>
        <v>1</v>
      </c>
      <c r="K102" s="2" t="str">
        <f t="shared" si="10"/>
        <v>Good differentiator</v>
      </c>
      <c r="L102" s="2" t="str">
        <f t="shared" si="11"/>
        <v>Gate + scored evidence</v>
      </c>
    </row>
  </sheetData>
  <conditionalFormatting sqref="E2:E102">
    <cfRule type="expression" dxfId="2" priority="1">
      <formula>E2="Strong Differentiator"</formula>
    </cfRule>
    <cfRule type="expression" dxfId="1" priority="2">
      <formula>E2="Highly Restrictive"</formula>
    </cfRule>
    <cfRule type="expression" dxfId="0" priority="3">
      <formula>E2="Common"</formula>
    </cfRule>
  </conditionalFormatting>
  <conditionalFormatting sqref="F2:F102">
    <cfRule type="dataBar" priority="102">
      <dataBar>
        <cfvo type="min"/>
        <cfvo type="max"/>
        <color rgb="FF4F46E5"/>
      </dataBar>
    </cfRule>
    <cfRule type="dataBar" priority="103">
      <dataBar>
        <cfvo type="min"/>
        <cfvo type="max"/>
        <color rgb="FF4F46E5"/>
      </dataBar>
      <extLst>
        <ext xmlns:x14="http://schemas.microsoft.com/office/spreadsheetml/2009/9/main" uri="{B025F937-C7B1-47D3-B67F-A62EFF666E3E}">
          <x14:id>{A76DBF3C-4E5A-183F-60A2-413D51603DC1}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6DBF3C-4E5A-183F-60A2-413D51603DC1}">
            <x14:dataBar>
              <x14:cfvo type="min"/>
              <x14:cfvo type="max"/>
              <x14:negativeFillColor auto="1"/>
              <x14:axisColor auto="1"/>
            </x14:dataBar>
          </x14:cfRule>
          <xm:sqref>F2:F102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Maher</cp:lastModifiedBy>
  <dcterms:modified xsi:type="dcterms:W3CDTF">2026-05-21T08:49:24Z</dcterms:modified>
</cp:coreProperties>
</file>